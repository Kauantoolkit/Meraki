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o de Ação Meraki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<sst xmlns="http://schemas.openxmlformats.org/spreadsheetml/2006/main" count="320" uniqueCount="193">
  <si>
    <t xml:space="preserve">MERAKI — Plataforma de Contratação Baseada em Projetos</t>
  </si>
  <si>
    <t xml:space="preserve">PLANO DE AÇÃO DETALHADO — v2.0  |  Baseado no DRS v1.0  |  Equipe: Kauan · Kaio · Joás · Tales</t>
  </si>
  <si>
    <t xml:space="preserve">Legenda:  ✔ CONCLUÍDA   ⚠ ATRASADA   ○ A INICIAR   ◑ EM ANDAMENTO</t>
  </si>
  <si>
    <t xml:space="preserve">#</t>
  </si>
  <si>
    <t xml:space="preserve">Fase</t>
  </si>
  <si>
    <t xml:space="preserve">Entregável / Tarefa</t>
  </si>
  <si>
    <t xml:space="preserve">Detalhamento (Como)</t>
  </si>
  <si>
    <t xml:space="preserve">RF/RN Associados</t>
  </si>
  <si>
    <t xml:space="preserve">Critério de Aceite</t>
  </si>
  <si>
    <t xml:space="preserve">Responsável</t>
  </si>
  <si>
    <t xml:space="preserve">Apoio</t>
  </si>
  <si>
    <t xml:space="preserve">Início</t>
  </si>
  <si>
    <t xml:space="preserve">Fim</t>
  </si>
  <si>
    <t xml:space="preserve">Duração</t>
  </si>
  <si>
    <t xml:space="preserve">Status</t>
  </si>
  <si>
    <t xml:space="preserve">Dependências</t>
  </si>
  <si>
    <t xml:space="preserve">Observações</t>
  </si>
  <si>
    <t xml:space="preserve">H. Estimadas</t>
  </si>
  <si>
    <t xml:space="preserve">H. Realizadas</t>
  </si>
  <si>
    <t xml:space="preserve">% Conclusão</t>
  </si>
  <si>
    <t xml:space="preserve">  1 – PLANEJAMENTO</t>
  </si>
  <si>
    <t xml:space="preserve">T1</t>
  </si>
  <si>
    <t xml:space="preserve">1 – Planejamento</t>
  </si>
  <si>
    <t xml:space="preserve">Definição da Proposta e Problema</t>
  </si>
  <si>
    <t xml:space="preserve">Mapear o problema de contratação técnica não-estruturada; definir proposta de valor da Meraki; documentar objetivos do sistema.</t>
  </si>
  <si>
    <t xml:space="preserve">—</t>
  </si>
  <si>
    <t xml:space="preserve">Documento de visão geral aprovado; problema claramente delimitado.</t>
  </si>
  <si>
    <t xml:space="preserve">Todos</t>
  </si>
  <si>
    <t xml:space="preserve">02/03/2026</t>
  </si>
  <si>
    <t xml:space="preserve">08/03/2026</t>
  </si>
  <si>
    <t xml:space="preserve">7 dias</t>
  </si>
  <si>
    <t xml:space="preserve">CONCLUÍDA</t>
  </si>
  <si>
    <t xml:space="preserve">Concluído conforme planejado.</t>
  </si>
  <si>
    <t xml:space="preserve">T2</t>
  </si>
  <si>
    <t xml:space="preserve">Documentação Inicial (DRS v1.0)</t>
  </si>
  <si>
    <t xml:space="preserve">Estruturar DRS com: visão geral, DDD, bounded contexts, entidades, RFs, RNFs, regras de negócio e arquitetura de microserviços.</t>
  </si>
  <si>
    <t xml:space="preserve">RF01–RF14 | RNF01–RNF10 | RN01–RN07</t>
  </si>
  <si>
    <t xml:space="preserve">DRS v1.0 revisado e aprovado pela equipe; todos os RFs/RNFs/RNs documentados.</t>
  </si>
  <si>
    <t xml:space="preserve">Kauan</t>
  </si>
  <si>
    <t xml:space="preserve">DRS v1.0 entregue.</t>
  </si>
  <si>
    <t xml:space="preserve">T3</t>
  </si>
  <si>
    <t xml:space="preserve">Levantamento e Validação de Requisitos</t>
  </si>
  <si>
    <t xml:space="preserve">Identificar e detalhar RF01–RF14 e RNF01–RNF10; validar regras de negócio RN01–RN07; mapear casos de uso principais.</t>
  </si>
  <si>
    <t xml:space="preserve">Matriz de rastreabilidade preenchida; todos os requisitos revisados e sem conflitos.</t>
  </si>
  <si>
    <t xml:space="preserve">  2 – MODELAGEM</t>
  </si>
  <si>
    <t xml:space="preserve">T4</t>
  </si>
  <si>
    <t xml:space="preserve">2 – Modelagem</t>
  </si>
  <si>
    <t xml:space="preserve">Modelagem UML e DDD</t>
  </si>
  <si>
    <t xml:space="preserve">Criar diagrama de classes, diagrama de sequência dos fluxos principais; definir bounded contexts; mapear entidades.</t>
  </si>
  <si>
    <t xml:space="preserve">RF01–RF14 | RN01–RN07 | RNF03 | RNF09</t>
  </si>
  <si>
    <t xml:space="preserve">Diagramas revisados pela equipe; bounded contexts sem sobreposição.</t>
  </si>
  <si>
    <t xml:space="preserve">09/03/2026</t>
  </si>
  <si>
    <t xml:space="preserve">15/03/2026</t>
  </si>
  <si>
    <t xml:space="preserve">Concluida com atraso (30-03)</t>
  </si>
  <si>
    <t xml:space="preserve">T1–T3</t>
  </si>
  <si>
    <t xml:space="preserve">1-Em andamento. Kauan gerou esquemas iniciais; pontos pendentes de decisão em grupo. 2- Terminei, contudo pode ser que simplifiquemos algumas partes pois ficou bem extenso</t>
  </si>
  <si>
    <t xml:space="preserve">T5a</t>
  </si>
  <si>
    <t xml:space="preserve">Prototipação de Telas (UI/UX)</t>
  </si>
  <si>
    <t xml:space="preserve">Prototipar telas: cadastro, criação de projetos, envio de propostas, board Kanban, perfis públicos.</t>
  </si>
  <si>
    <t xml:space="preserve">RF01–RF08 | RF12 | RF13</t>
  </si>
  <si>
    <t xml:space="preserve">Protótipos validados; fluxo de navegação completo sem gaps.</t>
  </si>
  <si>
    <t xml:space="preserve">Joás</t>
  </si>
  <si>
    <t xml:space="preserve">Tales</t>
  </si>
  <si>
    <t xml:space="preserve">16/03/2026</t>
  </si>
  <si>
    <t xml:space="preserve">29/03/2026</t>
  </si>
  <si>
    <t xml:space="preserve">14 dias</t>
  </si>
  <si>
    <t xml:space="preserve">Paralelo a T5b.</t>
  </si>
  <si>
    <t xml:space="preserve">T5b</t>
  </si>
  <si>
    <t xml:space="preserve">Design de Contratos de API</t>
  </si>
  <si>
    <t xml:space="preserve">Definir contratos OpenAPI/Swagger para todos os microserviços antes da codificação; documentar endpoints, payloads e eventos de mensageria.</t>
  </si>
  <si>
    <t xml:space="preserve">RNF07 | RNF10</t>
  </si>
  <si>
    <t xml:space="preserve">Contratos OpenAPI revisados por todos; sem ambiguidade nos endpoints críticos.</t>
  </si>
  <si>
    <t xml:space="preserve">Kaio</t>
  </si>
  <si>
    <t xml:space="preserve">A INICIAR</t>
  </si>
  <si>
    <t xml:space="preserve">Paralelo a T5a. Crítico para evitar inconsistências de integração.</t>
  </si>
  <si>
    <t xml:space="preserve">  3 – INFRAESTRUTURA</t>
  </si>
  <si>
    <t xml:space="preserve">T6</t>
  </si>
  <si>
    <t xml:space="preserve">3 – Infraestrutura</t>
  </si>
  <si>
    <t xml:space="preserve">Setup de Infraestrutura e Arquitetura Base</t>
  </si>
  <si>
    <t xml:space="preserve">Configurar monorepo; Docker Compose com PostgreSQL por serviço; RabbitMQ/Kafka; CI/CD básico.</t>
  </si>
  <si>
    <t xml:space="preserve">RNF03 | RNF05 | RNF09 | RNF10</t>
  </si>
  <si>
    <t xml:space="preserve">Docker Compose sobe todos os serviços; mensageria funcional; README com instruções.</t>
  </si>
  <si>
    <t xml:space="preserve">30/03/2026</t>
  </si>
  <si>
    <t xml:space="preserve">05/04/2026</t>
  </si>
  <si>
    <t xml:space="preserve">T5a | T5b</t>
  </si>
  <si>
    <t xml:space="preserve">  4 – BACKEND CORE</t>
  </si>
  <si>
    <t xml:space="preserve">T7a</t>
  </si>
  <si>
    <t xml:space="preserve">4 – Backend Core</t>
  </si>
  <si>
    <t xml:space="preserve">user-service (Identity &amp; Access)</t>
  </si>
  <si>
    <t xml:space="preserve">Cadastro e autenticação JWT de empresas e especialistas; CRUD de perfis; autorização por roles; proteção SQL Injection/XSS; logs de auditoria.</t>
  </si>
  <si>
    <t xml:space="preserve">RF01 | RF02 | RNF01 | RNF06 | RNF08</t>
  </si>
  <si>
    <t xml:space="preserve">Autenticação funcional; JWT emitido/validado; CRUD de usuários sem vulnerabilidades.</t>
  </si>
  <si>
    <t xml:space="preserve">06/04/2026</t>
  </si>
  <si>
    <t xml:space="preserve">19/04/2026</t>
  </si>
  <si>
    <t xml:space="preserve">Par 1 – desenvolvimento paralelo com T7b.</t>
  </si>
  <si>
    <t xml:space="preserve">T7b</t>
  </si>
  <si>
    <t xml:space="preserve">project-service — Início</t>
  </si>
  <si>
    <t xml:space="preserve">Setup do project-service; estrutura de entidades Project e Milestone; endpoints base de criação de projeto (RF03).</t>
  </si>
  <si>
    <t xml:space="preserve">RF03 | RNF07</t>
  </si>
  <si>
    <t xml:space="preserve">Estrutura de serviço funcional; endpoint POST /projects retornando corretamente.</t>
  </si>
  <si>
    <t xml:space="preserve">Par 1 – desenvolvimento paralelo com T7a.</t>
  </si>
  <si>
    <t xml:space="preserve">T8a</t>
  </si>
  <si>
    <t xml:space="preserve">project-service — Conclusão</t>
  </si>
  <si>
    <t xml:space="preserve">Milestones sequenciais (RN04); validação de escopo (RN01); registro automático de histórico (RN07); Swagger gerado.</t>
  </si>
  <si>
    <t xml:space="preserve">RF04 | RN01 | RN04 | RN07 | RNF07</t>
  </si>
  <si>
    <t xml:space="preserve">Milestones com ordem validada; RN01 bloqueando escopo incompleto; Swagger/OpenAPI gerado.</t>
  </si>
  <si>
    <t xml:space="preserve">20/04/2026</t>
  </si>
  <si>
    <t xml:space="preserve">03/05/2026</t>
  </si>
  <si>
    <t xml:space="preserve">T7a | T7b</t>
  </si>
  <si>
    <t xml:space="preserve">Par 2 – desenvolvimento paralelo com T8b.</t>
  </si>
  <si>
    <t xml:space="preserve">T8b</t>
  </si>
  <si>
    <t xml:space="preserve">bidding-service — Início</t>
  </si>
  <si>
    <t xml:space="preserve">Setup do bidding-service; estrutura da entidade Bid; endpoint de envio de proposta com validação de unicidade por especialista (RN02).</t>
  </si>
  <si>
    <t xml:space="preserve">RF05 | RN02</t>
  </si>
  <si>
    <t xml:space="preserve">Endpoint POST /bids funcional; especialista não consegue enviar segunda proposta.</t>
  </si>
  <si>
    <t xml:space="preserve">Par 2 – desenvolvimento paralelo com T8a.</t>
  </si>
  <si>
    <t xml:space="preserve">T9a</t>
  </si>
  <si>
    <t xml:space="preserve">bidding-service — Conclusão</t>
  </si>
  <si>
    <t xml:space="preserve">Avaliação de propostas (RF06); seleção de vencedor único (RF07 + RN03); notificação de resultado.</t>
  </si>
  <si>
    <t xml:space="preserve">RF06 | RF07 | RN03</t>
  </si>
  <si>
    <t xml:space="preserve">Empresa seleciona exatamente um vencedor; fluxo completo de licitação testado.</t>
  </si>
  <si>
    <t xml:space="preserve">04/05/2026</t>
  </si>
  <si>
    <t xml:space="preserve">17/05/2026</t>
  </si>
  <si>
    <t xml:space="preserve">T8a | T8b</t>
  </si>
  <si>
    <t xml:space="preserve">Par 3 – desenvolvimento paralelo com T9b.</t>
  </si>
  <si>
    <t xml:space="preserve">T9b</t>
  </si>
  <si>
    <t xml:space="preserve">delivery-service — Início</t>
  </si>
  <si>
    <t xml:space="preserve">Setup do delivery-service; estrutura do Kanban; atualização de status por milestone (RF08).</t>
  </si>
  <si>
    <t xml:space="preserve">RF08 | RNF10</t>
  </si>
  <si>
    <t xml:space="preserve">Board Kanban funcional com colunas A Fazer / Em Andamento / Concluído.</t>
  </si>
  <si>
    <t xml:space="preserve">Par 3 – desenvolvimento paralelo com T9a.</t>
  </si>
  <si>
    <t xml:space="preserve">T10a</t>
  </si>
  <si>
    <t xml:space="preserve">delivery-service — Conclusão</t>
  </si>
  <si>
    <t xml:space="preserve">Execução sequencial de milestones (RN04); publicação do evento 'milestone_validada' via mensageria (RNF10); integração com payment-service.</t>
  </si>
  <si>
    <t xml:space="preserve">RF09 | RN04 | RNF10</t>
  </si>
  <si>
    <t xml:space="preserve">Milestone só avança quando anterior concluída; evento publicado no broker; integração testada.</t>
  </si>
  <si>
    <t xml:space="preserve">18/05/2026</t>
  </si>
  <si>
    <t xml:space="preserve">31/05/2026</t>
  </si>
  <si>
    <t xml:space="preserve">T9a | T9b</t>
  </si>
  <si>
    <t xml:space="preserve">Par 4 – desenvolvimento paralelo com T10b.</t>
  </si>
  <si>
    <t xml:space="preserve">T10b</t>
  </si>
  <si>
    <t xml:space="preserve">payment-service — Início</t>
  </si>
  <si>
    <t xml:space="preserve">Setup do payment-service; consumo de eventos do delivery-service; estrutura de transações financeiras.</t>
  </si>
  <si>
    <t xml:space="preserve">RF10 | RNF04 | RNF10</t>
  </si>
  <si>
    <t xml:space="preserve">Serviço consome evento do broker sem erros; estrutura de transação criada.</t>
  </si>
  <si>
    <t xml:space="preserve">Par 4 – desenvolvimento paralelo com T10a.</t>
  </si>
  <si>
    <t xml:space="preserve">T11</t>
  </si>
  <si>
    <t xml:space="preserve">payment-service — Conclusão</t>
  </si>
  <si>
    <t xml:space="preserve">Liberação de pagamento pós-validação (RN05); retenção de taxa (RN06); consistência transacional com rollback (RNF04); logs de auditoria (RNF06).</t>
  </si>
  <si>
    <t xml:space="preserve">RN05 | RN06 | RNF04 | RNF06</t>
  </si>
  <si>
    <t xml:space="preserve">Pagamento bloqueado enquanto milestone não validada; taxa retida corretamente; log auditável.</t>
  </si>
  <si>
    <t xml:space="preserve">01/06/2026</t>
  </si>
  <si>
    <t xml:space="preserve">14/06/2026</t>
  </si>
  <si>
    <t xml:space="preserve">T10a | T10b</t>
  </si>
  <si>
    <t xml:space="preserve">  5 – FRONTEND + PORTFOLIO</t>
  </si>
  <si>
    <t xml:space="preserve">T12a</t>
  </si>
  <si>
    <t xml:space="preserve">5 – Frontend + Portfolio</t>
  </si>
  <si>
    <t xml:space="preserve">Frontend Next.js</t>
  </si>
  <si>
    <t xml:space="preserve">Desenvolver frontend React/Next.js integrando todos os microserviços; responsividade; UX das telas prototipadas em T5a.</t>
  </si>
  <si>
    <t xml:space="preserve">RF01–RF14</t>
  </si>
  <si>
    <t xml:space="preserve">Frontend integrado com todos os endpoints; telas funcionais conforme protótipos.</t>
  </si>
  <si>
    <t xml:space="preserve">28 dias</t>
  </si>
  <si>
    <t xml:space="preserve">T5a | T7a</t>
  </si>
  <si>
    <t xml:space="preserve">Paralelo ao backend core.</t>
  </si>
  <si>
    <t xml:space="preserve">T12b</t>
  </si>
  <si>
    <t xml:space="preserve">portfolio-service</t>
  </si>
  <si>
    <t xml:space="preserve">Histórico de entregas por especialista/empresa (RF11); perfis públicos (RF12/RF13); histórico profissional de freelancers (RF14).</t>
  </si>
  <si>
    <t xml:space="preserve">RF11 | RF12 | RF13 | RF14</t>
  </si>
  <si>
    <t xml:space="preserve">Perfis públicos acessíveis sem autenticação; histórico exibindo projetos concluídos.</t>
  </si>
  <si>
    <t xml:space="preserve">Paralelo ao backend final.</t>
  </si>
  <si>
    <t xml:space="preserve">  6 – QA &amp; ENTREGA</t>
  </si>
  <si>
    <t xml:space="preserve">T13</t>
  </si>
  <si>
    <t xml:space="preserve">6 – QA &amp; Entrega</t>
  </si>
  <si>
    <t xml:space="preserve">Testes Integrados e Correção de Bugs</t>
  </si>
  <si>
    <t xml:space="preserve">Testes end-to-end dos fluxos críticos; testes de segurança (SQL Injection, XSS, CSRF); validação de consistência entre microserviços; testes de carga básicos.</t>
  </si>
  <si>
    <t xml:space="preserve">RNF02 | RNF05 | RNF08 | RN01–RN07</t>
  </si>
  <si>
    <t xml:space="preserve">Todos os fluxos críticos passando; nenhuma vulnerabilidade crítica; bugs prioritários corrigidos.</t>
  </si>
  <si>
    <t xml:space="preserve">15/06/2026</t>
  </si>
  <si>
    <t xml:space="preserve">21/06/2026</t>
  </si>
  <si>
    <t xml:space="preserve">T7–T12b</t>
  </si>
  <si>
    <t xml:space="preserve">T14</t>
  </si>
  <si>
    <t xml:space="preserve">Preparação da Apresentação Final</t>
  </si>
  <si>
    <t xml:space="preserve">Consolidar documentação final; preparar slides com visão geral, DDD, arquitetura, demo; ensaiar demonstração ao vivo.</t>
  </si>
  <si>
    <t xml:space="preserve">Slides revisados por todos; demo funcional; documentação final entregue.</t>
  </si>
  <si>
    <t xml:space="preserve">22/06/2026</t>
  </si>
  <si>
    <t xml:space="preserve">25/06/2026</t>
  </si>
  <si>
    <t xml:space="preserve">4 dias</t>
  </si>
  <si>
    <t xml:space="preserve">T15</t>
  </si>
  <si>
    <t xml:space="preserve">Apresentação Final (Banca)</t>
  </si>
  <si>
    <t xml:space="preserve">Apresentar o projeto Meraki à banca: arquitetura, fluxos de negócio, demonstração ao vivo, rastreabilidade de requisitos.</t>
  </si>
  <si>
    <t xml:space="preserve">Apresentação realizada; sistema demonstrável ao vivo.</t>
  </si>
  <si>
    <t xml:space="preserve">26/06/2026</t>
  </si>
  <si>
    <t xml:space="preserve">1 dia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</si>
</sst>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%"/>
  </numFmts>
  <fonts count="17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i val="true"/>
      <sz val="10"/>
      <color rgb="FFFFFFFF"/>
      <name val="Arial"/>
      <family val="0"/>
      <charset val="1"/>
    </font>
    <font>
      <sz val="9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0"/>
      <color rgb="FF533483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1B5E20"/>
      <name val="Arial"/>
      <family val="0"/>
      <charset val="1"/>
    </font>
    <font>
      <sz val="9"/>
      <color rgb="FF1A1A2E"/>
      <name val="Arial"/>
      <family val="0"/>
      <charset val="1"/>
    </font>
    <font>
      <b val="true"/>
      <sz val="9"/>
      <color rgb="FF1A1A2E"/>
      <name val="Arial"/>
      <family val="0"/>
      <charset val="1"/>
    </font>
    <font>
      <b val="true"/>
      <sz val="10"/>
      <color rgb="FFB71C1C"/>
      <name val="Arial"/>
      <family val="0"/>
      <charset val="1"/>
    </font>
    <font>
      <b val="true"/>
      <sz val="10"/>
      <color rgb="FF00FF00"/>
      <name val="Arial"/>
      <family val="0"/>
      <charset val="1"/>
    </font>
    <font>
      <b val="true"/>
      <sz val="10"/>
      <color rgb="FF0D47A1"/>
      <name val="Arial"/>
      <family val="0"/>
      <charset val="1"/>
    </font>
  </fonts>
  <fills count="15">
    <fill>
      <patternFill patternType="none"/>
    </fill>
    <fill>
      <patternFill patternType="gray125"/>
    </fill>
    <fill>
      <patternFill patternType="solid">
        <fgColor rgb="FF533483"/>
        <bgColor rgb="FF3B2260"/>
      </patternFill>
    </fill>
    <fill>
      <patternFill patternType="solid">
        <fgColor rgb="FF3B2260"/>
        <bgColor rgb="FF533483"/>
      </patternFill>
    </fill>
    <fill>
      <patternFill patternType="solid">
        <fgColor rgb="FFF5F5F5"/>
        <bgColor rgb="FFEAF6EE"/>
      </patternFill>
    </fill>
    <fill>
      <patternFill patternType="solid">
        <fgColor rgb="FF16213E"/>
        <bgColor rgb="FF1A1A2E"/>
      </patternFill>
    </fill>
    <fill>
      <patternFill patternType="solid">
        <fgColor rgb="FF0A4D68"/>
        <bgColor rgb="FF0D47A1"/>
      </patternFill>
    </fill>
    <fill>
      <patternFill patternType="solid">
        <fgColor rgb="FFC8E6C9"/>
        <bgColor rgb="FFD5EFCE"/>
      </patternFill>
    </fill>
    <fill>
      <patternFill patternType="solid">
        <fgColor rgb="FFE8F4FD"/>
        <bgColor rgb="FFE3F2FD"/>
      </patternFill>
    </fill>
    <fill>
      <patternFill patternType="solid">
        <fgColor rgb="FFEAF6EE"/>
        <bgColor rgb="FFE8F4FD"/>
      </patternFill>
    </fill>
    <fill>
      <patternFill patternType="solid">
        <fgColor rgb="FFD5EFCE"/>
        <bgColor rgb="FFC8E6C9"/>
      </patternFill>
    </fill>
    <fill>
      <patternFill patternType="solid">
        <fgColor rgb="FFFFFFFF"/>
        <bgColor rgb="FFF5F5F5"/>
      </patternFill>
    </fill>
    <fill>
      <patternFill patternType="solid">
        <fgColor rgb="FFFFCDD2"/>
        <bgColor rgb="FFFCE4EC"/>
      </patternFill>
    </fill>
    <fill>
      <patternFill patternType="solid">
        <fgColor rgb="FFE3F2FD"/>
        <bgColor rgb="FFE8F4FD"/>
      </patternFill>
    </fill>
    <fill>
      <patternFill patternType="solid">
        <fgColor rgb="FFFCE4EC"/>
        <bgColor rgb="FFF5F5F5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3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3" fillId="1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B5E2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5F5F5"/>
      <rgbColor rgb="FFE3F2FD"/>
      <rgbColor rgb="FF660066"/>
      <rgbColor rgb="FFFF8080"/>
      <rgbColor rgb="FF0D47A1"/>
      <rgbColor rgb="FFC8E6C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4FD"/>
      <rgbColor rgb="FFD5EFCE"/>
      <rgbColor rgb="FFEAF6EE"/>
      <rgbColor rgb="FFFCE4EC"/>
      <rgbColor rgb="FFFF99CC"/>
      <rgbColor rgb="FFCC99FF"/>
      <rgbColor rgb="FFFFCDD2"/>
      <rgbColor rgb="FF3366FF"/>
      <rgbColor rgb="FF33CCCC"/>
      <rgbColor rgb="FF99CC00"/>
      <rgbColor rgb="FFFFCC00"/>
      <rgbColor rgb="FFFF9900"/>
      <rgbColor rgb="FFFF6600"/>
      <rgbColor rgb="FF555555"/>
      <rgbColor rgb="FFB0B0B0"/>
      <rgbColor rgb="FF0A4D68"/>
      <rgbColor rgb="FF339966"/>
      <rgbColor rgb="FF16213E"/>
      <rgbColor rgb="FF1A1A2E"/>
      <rgbColor rgb="FFB71C1C"/>
      <rgbColor rgb="FF993366"/>
      <rgbColor rgb="FF533483"/>
      <rgbColor rgb="FF3B226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C5" activeCellId="0" sqref="C5"/>
    </sheetView>
  </sheetViews>
  <sheetFormatPr defaultColWidth="14.433593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8"/>
    <col collapsed="false" customWidth="true" hidden="false" outlineLevel="0" max="3" min="3" style="0" width="32"/>
    <col collapsed="false" customWidth="true" hidden="false" outlineLevel="0" max="4" min="4" style="0" width="50"/>
    <col collapsed="false" customWidth="true" hidden="false" outlineLevel="0" max="5" min="5" style="0" width="28"/>
    <col collapsed="false" customWidth="true" hidden="false" outlineLevel="0" max="6" min="6" style="0" width="45"/>
    <col collapsed="false" customWidth="true" hidden="false" outlineLevel="0" max="7" min="7" style="0" width="14"/>
    <col collapsed="false" customWidth="true" hidden="false" outlineLevel="0" max="11" min="8" style="0" width="12"/>
    <col collapsed="false" customWidth="true" hidden="false" outlineLevel="0" max="12" min="12" style="0" width="14"/>
    <col collapsed="false" customWidth="true" hidden="false" outlineLevel="0" max="13" min="13" style="0" width="20"/>
    <col collapsed="false" customWidth="true" hidden="false" outlineLevel="0" max="14" min="14" style="0" width="35"/>
    <col collapsed="false" customWidth="true" hidden="false" outlineLevel="0" max="26" min="15" style="0" width="13"/>
  </cols>
  <sheetData>
    <row r="1" customFormat="false" ht="16.1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customFormat="false" ht="1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customFormat="false" ht="15" hidden="false" customHeight="fals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customFormat="false" ht="27.75" hidden="false" customHeight="true" outlineLevel="0" collapsed="false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4" t="s">
        <v>12</v>
      </c>
      <c r="K4" s="4" t="s">
        <v>13</v>
      </c>
      <c r="L4" s="4" t="s">
        <v>14</v>
      </c>
      <c r="M4" s="4" t="s">
        <v>15</v>
      </c>
      <c r="N4" s="4" t="s">
        <v>16</v>
      </c>
      <c r="O4" s="5" t="s">
        <v>17</v>
      </c>
      <c r="P4" s="5" t="s">
        <v>18</v>
      </c>
      <c r="Q4" s="5" t="s">
        <v>19</v>
      </c>
    </row>
    <row r="5" customFormat="false" ht="18" hidden="false" customHeight="true" outlineLevel="0" collapsed="false">
      <c r="A5" s="6" t="s">
        <v>20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</row>
    <row r="6" customFormat="false" ht="45" hidden="false" customHeight="true" outlineLevel="0" collapsed="false">
      <c r="A6" s="7" t="s">
        <v>21</v>
      </c>
      <c r="B6" s="8" t="s">
        <v>22</v>
      </c>
      <c r="C6" s="8" t="s">
        <v>23</v>
      </c>
      <c r="D6" s="8" t="s">
        <v>24</v>
      </c>
      <c r="E6" s="8" t="s">
        <v>25</v>
      </c>
      <c r="F6" s="8" t="s">
        <v>26</v>
      </c>
      <c r="G6" s="9" t="s">
        <v>27</v>
      </c>
      <c r="H6" s="9" t="s">
        <v>25</v>
      </c>
      <c r="I6" s="9" t="s">
        <v>28</v>
      </c>
      <c r="J6" s="9" t="s">
        <v>29</v>
      </c>
      <c r="K6" s="9" t="s">
        <v>30</v>
      </c>
      <c r="L6" s="10" t="s">
        <v>31</v>
      </c>
      <c r="M6" s="8" t="s">
        <v>25</v>
      </c>
      <c r="N6" s="8" t="s">
        <v>32</v>
      </c>
      <c r="O6" s="11" t="n">
        <v>8</v>
      </c>
      <c r="P6" s="12" t="n">
        <v>8</v>
      </c>
      <c r="Q6" s="13" t="n">
        <f aca="false">IF(O6=0,0,P6/O6)</f>
        <v>1</v>
      </c>
    </row>
    <row r="7" customFormat="false" ht="45" hidden="false" customHeight="true" outlineLevel="0" collapsed="false">
      <c r="A7" s="7" t="s">
        <v>33</v>
      </c>
      <c r="B7" s="14" t="s">
        <v>22</v>
      </c>
      <c r="C7" s="14" t="s">
        <v>34</v>
      </c>
      <c r="D7" s="14" t="s">
        <v>35</v>
      </c>
      <c r="E7" s="14" t="s">
        <v>36</v>
      </c>
      <c r="F7" s="14" t="s">
        <v>37</v>
      </c>
      <c r="G7" s="15" t="s">
        <v>38</v>
      </c>
      <c r="H7" s="15" t="s">
        <v>27</v>
      </c>
      <c r="I7" s="15" t="s">
        <v>28</v>
      </c>
      <c r="J7" s="15" t="s">
        <v>29</v>
      </c>
      <c r="K7" s="15" t="s">
        <v>30</v>
      </c>
      <c r="L7" s="10" t="s">
        <v>31</v>
      </c>
      <c r="M7" s="14" t="s">
        <v>25</v>
      </c>
      <c r="N7" s="14" t="s">
        <v>39</v>
      </c>
      <c r="O7" s="11" t="n">
        <v>12</v>
      </c>
      <c r="P7" s="12" t="n">
        <v>12</v>
      </c>
      <c r="Q7" s="13" t="n">
        <f aca="false">IF(O7=0,0,P7/O7)</f>
        <v>1</v>
      </c>
    </row>
    <row r="8" customFormat="false" ht="45" hidden="false" customHeight="true" outlineLevel="0" collapsed="false">
      <c r="A8" s="7" t="s">
        <v>40</v>
      </c>
      <c r="B8" s="8" t="s">
        <v>22</v>
      </c>
      <c r="C8" s="8" t="s">
        <v>41</v>
      </c>
      <c r="D8" s="8" t="s">
        <v>42</v>
      </c>
      <c r="E8" s="8" t="s">
        <v>36</v>
      </c>
      <c r="F8" s="8" t="s">
        <v>43</v>
      </c>
      <c r="G8" s="9" t="s">
        <v>27</v>
      </c>
      <c r="H8" s="9" t="s">
        <v>25</v>
      </c>
      <c r="I8" s="9" t="s">
        <v>28</v>
      </c>
      <c r="J8" s="9" t="s">
        <v>29</v>
      </c>
      <c r="K8" s="9" t="s">
        <v>30</v>
      </c>
      <c r="L8" s="10" t="s">
        <v>31</v>
      </c>
      <c r="M8" s="8" t="s">
        <v>25</v>
      </c>
      <c r="N8" s="8" t="s">
        <v>32</v>
      </c>
      <c r="O8" s="11" t="n">
        <v>8</v>
      </c>
      <c r="P8" s="12" t="n">
        <v>8</v>
      </c>
      <c r="Q8" s="13" t="n">
        <f aca="false">IF(O8=0,0,P8/O8)</f>
        <v>1</v>
      </c>
    </row>
    <row r="9" customFormat="false" ht="18" hidden="false" customHeight="true" outlineLevel="0" collapsed="false">
      <c r="A9" s="6" t="s">
        <v>44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</row>
    <row r="10" customFormat="false" ht="45" hidden="false" customHeight="true" outlineLevel="0" collapsed="false">
      <c r="A10" s="7" t="s">
        <v>45</v>
      </c>
      <c r="B10" s="8" t="s">
        <v>46</v>
      </c>
      <c r="C10" s="8" t="s">
        <v>47</v>
      </c>
      <c r="D10" s="8" t="s">
        <v>48</v>
      </c>
      <c r="E10" s="8" t="s">
        <v>49</v>
      </c>
      <c r="F10" s="8" t="s">
        <v>50</v>
      </c>
      <c r="G10" s="9" t="s">
        <v>27</v>
      </c>
      <c r="H10" s="9" t="s">
        <v>27</v>
      </c>
      <c r="I10" s="9" t="s">
        <v>51</v>
      </c>
      <c r="J10" s="9" t="s">
        <v>52</v>
      </c>
      <c r="K10" s="9" t="s">
        <v>30</v>
      </c>
      <c r="L10" s="16" t="s">
        <v>53</v>
      </c>
      <c r="M10" s="8" t="s">
        <v>54</v>
      </c>
      <c r="N10" s="8" t="s">
        <v>55</v>
      </c>
      <c r="O10" s="11" t="n">
        <v>20</v>
      </c>
      <c r="P10" s="12" t="n">
        <v>28</v>
      </c>
      <c r="Q10" s="13" t="n">
        <f aca="false">IF(O10=0,0,P10/O10)</f>
        <v>1.4</v>
      </c>
    </row>
    <row r="11" customFormat="false" ht="45" hidden="false" customHeight="true" outlineLevel="0" collapsed="false">
      <c r="A11" s="7" t="s">
        <v>56</v>
      </c>
      <c r="B11" s="14" t="s">
        <v>46</v>
      </c>
      <c r="C11" s="14" t="s">
        <v>57</v>
      </c>
      <c r="D11" s="14" t="s">
        <v>58</v>
      </c>
      <c r="E11" s="14" t="s">
        <v>59</v>
      </c>
      <c r="F11" s="14" t="s">
        <v>60</v>
      </c>
      <c r="G11" s="15" t="s">
        <v>61</v>
      </c>
      <c r="H11" s="15" t="s">
        <v>62</v>
      </c>
      <c r="I11" s="15" t="s">
        <v>63</v>
      </c>
      <c r="J11" s="15" t="s">
        <v>64</v>
      </c>
      <c r="K11" s="15" t="s">
        <v>65</v>
      </c>
      <c r="L11" s="17" t="s">
        <v>31</v>
      </c>
      <c r="M11" s="14" t="s">
        <v>45</v>
      </c>
      <c r="N11" s="14" t="s">
        <v>66</v>
      </c>
      <c r="O11" s="11" t="n">
        <v>20</v>
      </c>
      <c r="P11" s="12" t="n">
        <v>20</v>
      </c>
      <c r="Q11" s="13" t="n">
        <f aca="false">IF(O11=0,0,P11/O11)</f>
        <v>1</v>
      </c>
    </row>
    <row r="12" customFormat="false" ht="45" hidden="false" customHeight="true" outlineLevel="0" collapsed="false">
      <c r="A12" s="7" t="s">
        <v>67</v>
      </c>
      <c r="B12" s="8" t="s">
        <v>46</v>
      </c>
      <c r="C12" s="8" t="s">
        <v>68</v>
      </c>
      <c r="D12" s="8" t="s">
        <v>69</v>
      </c>
      <c r="E12" s="8" t="s">
        <v>70</v>
      </c>
      <c r="F12" s="8" t="s">
        <v>71</v>
      </c>
      <c r="G12" s="9" t="s">
        <v>38</v>
      </c>
      <c r="H12" s="9" t="s">
        <v>72</v>
      </c>
      <c r="I12" s="9" t="s">
        <v>63</v>
      </c>
      <c r="J12" s="9" t="s">
        <v>64</v>
      </c>
      <c r="K12" s="9" t="s">
        <v>65</v>
      </c>
      <c r="L12" s="18" t="s">
        <v>73</v>
      </c>
      <c r="M12" s="8" t="s">
        <v>45</v>
      </c>
      <c r="N12" s="8" t="s">
        <v>74</v>
      </c>
      <c r="O12" s="11" t="n">
        <v>16</v>
      </c>
      <c r="P12" s="19" t="n">
        <v>0</v>
      </c>
      <c r="Q12" s="20" t="n">
        <f aca="false">IF(O12=0,0,P12/O12)</f>
        <v>0</v>
      </c>
    </row>
    <row r="13" customFormat="false" ht="18" hidden="false" customHeight="true" outlineLevel="0" collapsed="false">
      <c r="A13" s="6" t="s">
        <v>75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</row>
    <row r="14" customFormat="false" ht="45" hidden="false" customHeight="true" outlineLevel="0" collapsed="false">
      <c r="A14" s="7" t="s">
        <v>76</v>
      </c>
      <c r="B14" s="8" t="s">
        <v>77</v>
      </c>
      <c r="C14" s="8" t="s">
        <v>78</v>
      </c>
      <c r="D14" s="8" t="s">
        <v>79</v>
      </c>
      <c r="E14" s="8" t="s">
        <v>80</v>
      </c>
      <c r="F14" s="8" t="s">
        <v>81</v>
      </c>
      <c r="G14" s="9" t="s">
        <v>72</v>
      </c>
      <c r="H14" s="9" t="s">
        <v>38</v>
      </c>
      <c r="I14" s="9" t="s">
        <v>82</v>
      </c>
      <c r="J14" s="9" t="s">
        <v>83</v>
      </c>
      <c r="K14" s="9" t="s">
        <v>30</v>
      </c>
      <c r="L14" s="18" t="s">
        <v>73</v>
      </c>
      <c r="M14" s="8" t="s">
        <v>84</v>
      </c>
      <c r="N14" s="8" t="s">
        <v>25</v>
      </c>
      <c r="O14" s="11" t="n">
        <v>16</v>
      </c>
      <c r="P14" s="19" t="n">
        <v>0</v>
      </c>
      <c r="Q14" s="20" t="n">
        <f aca="false">IF(O14=0,0,P14/O14)</f>
        <v>0</v>
      </c>
    </row>
    <row r="15" customFormat="false" ht="18" hidden="false" customHeight="true" outlineLevel="0" collapsed="false">
      <c r="A15" s="6" t="s">
        <v>85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</row>
    <row r="16" customFormat="false" ht="45" hidden="false" customHeight="true" outlineLevel="0" collapsed="false">
      <c r="A16" s="7" t="s">
        <v>86</v>
      </c>
      <c r="B16" s="8" t="s">
        <v>87</v>
      </c>
      <c r="C16" s="8" t="s">
        <v>88</v>
      </c>
      <c r="D16" s="8" t="s">
        <v>89</v>
      </c>
      <c r="E16" s="8" t="s">
        <v>90</v>
      </c>
      <c r="F16" s="8" t="s">
        <v>91</v>
      </c>
      <c r="G16" s="9" t="s">
        <v>61</v>
      </c>
      <c r="H16" s="9" t="s">
        <v>72</v>
      </c>
      <c r="I16" s="9" t="s">
        <v>92</v>
      </c>
      <c r="J16" s="9" t="s">
        <v>93</v>
      </c>
      <c r="K16" s="9" t="s">
        <v>65</v>
      </c>
      <c r="L16" s="18" t="s">
        <v>73</v>
      </c>
      <c r="M16" s="8" t="s">
        <v>76</v>
      </c>
      <c r="N16" s="8" t="s">
        <v>94</v>
      </c>
      <c r="O16" s="11" t="n">
        <v>28</v>
      </c>
      <c r="P16" s="19" t="n">
        <v>0</v>
      </c>
      <c r="Q16" s="20" t="n">
        <f aca="false">IF(O16=0,0,P16/O16)</f>
        <v>0</v>
      </c>
    </row>
    <row r="17" customFormat="false" ht="45" hidden="false" customHeight="true" outlineLevel="0" collapsed="false">
      <c r="A17" s="7" t="s">
        <v>95</v>
      </c>
      <c r="B17" s="14" t="s">
        <v>87</v>
      </c>
      <c r="C17" s="14" t="s">
        <v>96</v>
      </c>
      <c r="D17" s="14" t="s">
        <v>97</v>
      </c>
      <c r="E17" s="14" t="s">
        <v>98</v>
      </c>
      <c r="F17" s="14" t="s">
        <v>99</v>
      </c>
      <c r="G17" s="15" t="s">
        <v>38</v>
      </c>
      <c r="H17" s="15" t="s">
        <v>62</v>
      </c>
      <c r="I17" s="15" t="s">
        <v>92</v>
      </c>
      <c r="J17" s="15" t="s">
        <v>93</v>
      </c>
      <c r="K17" s="15" t="s">
        <v>65</v>
      </c>
      <c r="L17" s="18" t="s">
        <v>73</v>
      </c>
      <c r="M17" s="14" t="s">
        <v>76</v>
      </c>
      <c r="N17" s="14" t="s">
        <v>100</v>
      </c>
      <c r="O17" s="11" t="n">
        <v>24</v>
      </c>
      <c r="P17" s="19" t="n">
        <v>0</v>
      </c>
      <c r="Q17" s="20" t="n">
        <f aca="false">IF(O17=0,0,P17/O17)</f>
        <v>0</v>
      </c>
    </row>
    <row r="18" customFormat="false" ht="45" hidden="false" customHeight="true" outlineLevel="0" collapsed="false">
      <c r="A18" s="7" t="s">
        <v>101</v>
      </c>
      <c r="B18" s="8" t="s">
        <v>87</v>
      </c>
      <c r="C18" s="8" t="s">
        <v>102</v>
      </c>
      <c r="D18" s="8" t="s">
        <v>103</v>
      </c>
      <c r="E18" s="8" t="s">
        <v>104</v>
      </c>
      <c r="F18" s="8" t="s">
        <v>105</v>
      </c>
      <c r="G18" s="9" t="s">
        <v>38</v>
      </c>
      <c r="H18" s="9" t="s">
        <v>62</v>
      </c>
      <c r="I18" s="9" t="s">
        <v>106</v>
      </c>
      <c r="J18" s="9" t="s">
        <v>107</v>
      </c>
      <c r="K18" s="9" t="s">
        <v>65</v>
      </c>
      <c r="L18" s="18" t="s">
        <v>73</v>
      </c>
      <c r="M18" s="8" t="s">
        <v>108</v>
      </c>
      <c r="N18" s="8" t="s">
        <v>109</v>
      </c>
      <c r="O18" s="11" t="n">
        <v>24</v>
      </c>
      <c r="P18" s="19" t="n">
        <v>0</v>
      </c>
      <c r="Q18" s="20" t="n">
        <f aca="false">IF(O18=0,0,P18/O18)</f>
        <v>0</v>
      </c>
    </row>
    <row r="19" customFormat="false" ht="45" hidden="false" customHeight="true" outlineLevel="0" collapsed="false">
      <c r="A19" s="7" t="s">
        <v>110</v>
      </c>
      <c r="B19" s="14" t="s">
        <v>87</v>
      </c>
      <c r="C19" s="14" t="s">
        <v>111</v>
      </c>
      <c r="D19" s="14" t="s">
        <v>112</v>
      </c>
      <c r="E19" s="14" t="s">
        <v>113</v>
      </c>
      <c r="F19" s="14" t="s">
        <v>114</v>
      </c>
      <c r="G19" s="15" t="s">
        <v>61</v>
      </c>
      <c r="H19" s="15" t="s">
        <v>72</v>
      </c>
      <c r="I19" s="15" t="s">
        <v>106</v>
      </c>
      <c r="J19" s="15" t="s">
        <v>107</v>
      </c>
      <c r="K19" s="15" t="s">
        <v>65</v>
      </c>
      <c r="L19" s="18" t="s">
        <v>73</v>
      </c>
      <c r="M19" s="14" t="s">
        <v>108</v>
      </c>
      <c r="N19" s="14" t="s">
        <v>115</v>
      </c>
      <c r="O19" s="11" t="n">
        <v>24</v>
      </c>
      <c r="P19" s="19" t="n">
        <v>0</v>
      </c>
      <c r="Q19" s="20" t="n">
        <f aca="false">IF(O19=0,0,P19/O19)</f>
        <v>0</v>
      </c>
    </row>
    <row r="20" customFormat="false" ht="45" hidden="false" customHeight="true" outlineLevel="0" collapsed="false">
      <c r="A20" s="7" t="s">
        <v>116</v>
      </c>
      <c r="B20" s="8" t="s">
        <v>87</v>
      </c>
      <c r="C20" s="8" t="s">
        <v>117</v>
      </c>
      <c r="D20" s="8" t="s">
        <v>118</v>
      </c>
      <c r="E20" s="8" t="s">
        <v>119</v>
      </c>
      <c r="F20" s="8" t="s">
        <v>120</v>
      </c>
      <c r="G20" s="9" t="s">
        <v>62</v>
      </c>
      <c r="H20" s="9" t="s">
        <v>72</v>
      </c>
      <c r="I20" s="9" t="s">
        <v>121</v>
      </c>
      <c r="J20" s="9" t="s">
        <v>122</v>
      </c>
      <c r="K20" s="9" t="s">
        <v>65</v>
      </c>
      <c r="L20" s="18" t="s">
        <v>73</v>
      </c>
      <c r="M20" s="8" t="s">
        <v>123</v>
      </c>
      <c r="N20" s="8" t="s">
        <v>124</v>
      </c>
      <c r="O20" s="11" t="n">
        <v>20</v>
      </c>
      <c r="P20" s="19" t="n">
        <v>0</v>
      </c>
      <c r="Q20" s="20" t="n">
        <f aca="false">IF(O20=0,0,P20/O20)</f>
        <v>0</v>
      </c>
    </row>
    <row r="21" customFormat="false" ht="45" hidden="false" customHeight="true" outlineLevel="0" collapsed="false">
      <c r="A21" s="7" t="s">
        <v>125</v>
      </c>
      <c r="B21" s="14" t="s">
        <v>87</v>
      </c>
      <c r="C21" s="14" t="s">
        <v>126</v>
      </c>
      <c r="D21" s="14" t="s">
        <v>127</v>
      </c>
      <c r="E21" s="14" t="s">
        <v>128</v>
      </c>
      <c r="F21" s="14" t="s">
        <v>129</v>
      </c>
      <c r="G21" s="15" t="s">
        <v>38</v>
      </c>
      <c r="H21" s="15" t="s">
        <v>61</v>
      </c>
      <c r="I21" s="15" t="s">
        <v>121</v>
      </c>
      <c r="J21" s="15" t="s">
        <v>122</v>
      </c>
      <c r="K21" s="15" t="s">
        <v>65</v>
      </c>
      <c r="L21" s="18" t="s">
        <v>73</v>
      </c>
      <c r="M21" s="14" t="s">
        <v>123</v>
      </c>
      <c r="N21" s="14" t="s">
        <v>130</v>
      </c>
      <c r="O21" s="11" t="n">
        <v>20</v>
      </c>
      <c r="P21" s="19" t="n">
        <v>0</v>
      </c>
      <c r="Q21" s="20" t="n">
        <f aca="false">IF(O21=0,0,P21/O21)</f>
        <v>0</v>
      </c>
    </row>
    <row r="22" customFormat="false" ht="45" hidden="false" customHeight="true" outlineLevel="0" collapsed="false">
      <c r="A22" s="7" t="s">
        <v>131</v>
      </c>
      <c r="B22" s="8" t="s">
        <v>87</v>
      </c>
      <c r="C22" s="8" t="s">
        <v>132</v>
      </c>
      <c r="D22" s="8" t="s">
        <v>133</v>
      </c>
      <c r="E22" s="8" t="s">
        <v>134</v>
      </c>
      <c r="F22" s="8" t="s">
        <v>135</v>
      </c>
      <c r="G22" s="9" t="s">
        <v>38</v>
      </c>
      <c r="H22" s="9" t="s">
        <v>61</v>
      </c>
      <c r="I22" s="9" t="s">
        <v>136</v>
      </c>
      <c r="J22" s="9" t="s">
        <v>137</v>
      </c>
      <c r="K22" s="9" t="s">
        <v>65</v>
      </c>
      <c r="L22" s="18" t="s">
        <v>73</v>
      </c>
      <c r="M22" s="8" t="s">
        <v>138</v>
      </c>
      <c r="N22" s="8" t="s">
        <v>139</v>
      </c>
      <c r="O22" s="11" t="n">
        <v>20</v>
      </c>
      <c r="P22" s="19" t="n">
        <v>0</v>
      </c>
      <c r="Q22" s="20" t="n">
        <f aca="false">IF(O22=0,0,P22/O22)</f>
        <v>0</v>
      </c>
    </row>
    <row r="23" customFormat="false" ht="45" hidden="false" customHeight="true" outlineLevel="0" collapsed="false">
      <c r="A23" s="7" t="s">
        <v>140</v>
      </c>
      <c r="B23" s="14" t="s">
        <v>87</v>
      </c>
      <c r="C23" s="14" t="s">
        <v>141</v>
      </c>
      <c r="D23" s="14" t="s">
        <v>142</v>
      </c>
      <c r="E23" s="14" t="s">
        <v>143</v>
      </c>
      <c r="F23" s="14" t="s">
        <v>144</v>
      </c>
      <c r="G23" s="15" t="s">
        <v>62</v>
      </c>
      <c r="H23" s="15" t="s">
        <v>72</v>
      </c>
      <c r="I23" s="15" t="s">
        <v>136</v>
      </c>
      <c r="J23" s="15" t="s">
        <v>137</v>
      </c>
      <c r="K23" s="15" t="s">
        <v>65</v>
      </c>
      <c r="L23" s="18" t="s">
        <v>73</v>
      </c>
      <c r="M23" s="14" t="s">
        <v>138</v>
      </c>
      <c r="N23" s="14" t="s">
        <v>145</v>
      </c>
      <c r="O23" s="11" t="n">
        <v>20</v>
      </c>
      <c r="P23" s="19" t="n">
        <v>0</v>
      </c>
      <c r="Q23" s="20" t="n">
        <f aca="false">IF(O23=0,0,P23/O23)</f>
        <v>0</v>
      </c>
    </row>
    <row r="24" customFormat="false" ht="45" hidden="false" customHeight="true" outlineLevel="0" collapsed="false">
      <c r="A24" s="7" t="s">
        <v>146</v>
      </c>
      <c r="B24" s="8" t="s">
        <v>87</v>
      </c>
      <c r="C24" s="8" t="s">
        <v>147</v>
      </c>
      <c r="D24" s="8" t="s">
        <v>148</v>
      </c>
      <c r="E24" s="8" t="s">
        <v>149</v>
      </c>
      <c r="F24" s="8" t="s">
        <v>150</v>
      </c>
      <c r="G24" s="9" t="s">
        <v>62</v>
      </c>
      <c r="H24" s="9" t="s">
        <v>72</v>
      </c>
      <c r="I24" s="9" t="s">
        <v>151</v>
      </c>
      <c r="J24" s="9" t="s">
        <v>152</v>
      </c>
      <c r="K24" s="9" t="s">
        <v>65</v>
      </c>
      <c r="L24" s="18" t="s">
        <v>73</v>
      </c>
      <c r="M24" s="8" t="s">
        <v>153</v>
      </c>
      <c r="N24" s="8" t="s">
        <v>25</v>
      </c>
      <c r="O24" s="11" t="n">
        <v>20</v>
      </c>
      <c r="P24" s="19" t="n">
        <v>0</v>
      </c>
      <c r="Q24" s="20" t="n">
        <f aca="false">IF(O24=0,0,P24/O24)</f>
        <v>0</v>
      </c>
    </row>
    <row r="25" customFormat="false" ht="18" hidden="false" customHeight="true" outlineLevel="0" collapsed="false">
      <c r="A25" s="6" t="s">
        <v>154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</row>
    <row r="26" customFormat="false" ht="45" hidden="false" customHeight="true" outlineLevel="0" collapsed="false">
      <c r="A26" s="7" t="s">
        <v>155</v>
      </c>
      <c r="B26" s="8" t="s">
        <v>156</v>
      </c>
      <c r="C26" s="8" t="s">
        <v>157</v>
      </c>
      <c r="D26" s="8" t="s">
        <v>158</v>
      </c>
      <c r="E26" s="8" t="s">
        <v>159</v>
      </c>
      <c r="F26" s="8" t="s">
        <v>160</v>
      </c>
      <c r="G26" s="9" t="s">
        <v>61</v>
      </c>
      <c r="H26" s="9" t="s">
        <v>62</v>
      </c>
      <c r="I26" s="9" t="s">
        <v>136</v>
      </c>
      <c r="J26" s="9" t="s">
        <v>152</v>
      </c>
      <c r="K26" s="9" t="s">
        <v>161</v>
      </c>
      <c r="L26" s="18" t="s">
        <v>73</v>
      </c>
      <c r="M26" s="8" t="s">
        <v>162</v>
      </c>
      <c r="N26" s="8" t="s">
        <v>163</v>
      </c>
      <c r="O26" s="11" t="n">
        <v>40</v>
      </c>
      <c r="P26" s="19" t="n">
        <v>0</v>
      </c>
      <c r="Q26" s="20" t="n">
        <f aca="false">IF(O26=0,0,P26/O26)</f>
        <v>0</v>
      </c>
    </row>
    <row r="27" customFormat="false" ht="45" hidden="false" customHeight="true" outlineLevel="0" collapsed="false">
      <c r="A27" s="7" t="s">
        <v>164</v>
      </c>
      <c r="B27" s="14" t="s">
        <v>156</v>
      </c>
      <c r="C27" s="14" t="s">
        <v>165</v>
      </c>
      <c r="D27" s="14" t="s">
        <v>166</v>
      </c>
      <c r="E27" s="14" t="s">
        <v>167</v>
      </c>
      <c r="F27" s="14" t="s">
        <v>168</v>
      </c>
      <c r="G27" s="15" t="s">
        <v>38</v>
      </c>
      <c r="H27" s="15" t="s">
        <v>61</v>
      </c>
      <c r="I27" s="15" t="s">
        <v>151</v>
      </c>
      <c r="J27" s="15" t="s">
        <v>152</v>
      </c>
      <c r="K27" s="15" t="s">
        <v>65</v>
      </c>
      <c r="L27" s="18" t="s">
        <v>73</v>
      </c>
      <c r="M27" s="14" t="s">
        <v>153</v>
      </c>
      <c r="N27" s="14" t="s">
        <v>169</v>
      </c>
      <c r="O27" s="11" t="n">
        <v>20</v>
      </c>
      <c r="P27" s="19" t="n">
        <v>0</v>
      </c>
      <c r="Q27" s="20" t="n">
        <f aca="false">IF(O27=0,0,P27/O27)</f>
        <v>0</v>
      </c>
    </row>
    <row r="28" customFormat="false" ht="18" hidden="false" customHeight="true" outlineLevel="0" collapsed="false">
      <c r="A28" s="6" t="s">
        <v>170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</row>
    <row r="29" customFormat="false" ht="45" hidden="false" customHeight="true" outlineLevel="0" collapsed="false">
      <c r="A29" s="7" t="s">
        <v>171</v>
      </c>
      <c r="B29" s="14" t="s">
        <v>172</v>
      </c>
      <c r="C29" s="14" t="s">
        <v>173</v>
      </c>
      <c r="D29" s="14" t="s">
        <v>174</v>
      </c>
      <c r="E29" s="14" t="s">
        <v>175</v>
      </c>
      <c r="F29" s="14" t="s">
        <v>176</v>
      </c>
      <c r="G29" s="15" t="s">
        <v>27</v>
      </c>
      <c r="H29" s="15" t="s">
        <v>25</v>
      </c>
      <c r="I29" s="15" t="s">
        <v>177</v>
      </c>
      <c r="J29" s="15" t="s">
        <v>178</v>
      </c>
      <c r="K29" s="15" t="s">
        <v>30</v>
      </c>
      <c r="L29" s="18" t="s">
        <v>73</v>
      </c>
      <c r="M29" s="14" t="s">
        <v>179</v>
      </c>
      <c r="N29" s="14" t="s">
        <v>25</v>
      </c>
      <c r="O29" s="11" t="n">
        <v>16</v>
      </c>
      <c r="P29" s="19" t="n">
        <v>0</v>
      </c>
      <c r="Q29" s="20" t="n">
        <f aca="false">IF(O29=0,0,P29/O29)</f>
        <v>0</v>
      </c>
    </row>
    <row r="30" customFormat="false" ht="45" hidden="false" customHeight="true" outlineLevel="0" collapsed="false">
      <c r="A30" s="7" t="s">
        <v>180</v>
      </c>
      <c r="B30" s="8" t="s">
        <v>172</v>
      </c>
      <c r="C30" s="8" t="s">
        <v>181</v>
      </c>
      <c r="D30" s="8" t="s">
        <v>182</v>
      </c>
      <c r="E30" s="8" t="s">
        <v>25</v>
      </c>
      <c r="F30" s="8" t="s">
        <v>183</v>
      </c>
      <c r="G30" s="9" t="s">
        <v>27</v>
      </c>
      <c r="H30" s="9" t="s">
        <v>25</v>
      </c>
      <c r="I30" s="9" t="s">
        <v>184</v>
      </c>
      <c r="J30" s="9" t="s">
        <v>185</v>
      </c>
      <c r="K30" s="9" t="s">
        <v>186</v>
      </c>
      <c r="L30" s="18" t="s">
        <v>73</v>
      </c>
      <c r="M30" s="8" t="s">
        <v>171</v>
      </c>
      <c r="N30" s="8" t="s">
        <v>25</v>
      </c>
      <c r="O30" s="11" t="n">
        <v>8</v>
      </c>
      <c r="P30" s="19" t="n">
        <v>0</v>
      </c>
      <c r="Q30" s="20" t="n">
        <f aca="false">IF(O30=0,0,P30/O30)</f>
        <v>0</v>
      </c>
    </row>
    <row r="31" customFormat="false" ht="45" hidden="false" customHeight="true" outlineLevel="0" collapsed="false">
      <c r="A31" s="7" t="s">
        <v>187</v>
      </c>
      <c r="B31" s="14" t="s">
        <v>172</v>
      </c>
      <c r="C31" s="14" t="s">
        <v>188</v>
      </c>
      <c r="D31" s="14" t="s">
        <v>189</v>
      </c>
      <c r="E31" s="14" t="s">
        <v>25</v>
      </c>
      <c r="F31" s="14" t="s">
        <v>190</v>
      </c>
      <c r="G31" s="15" t="s">
        <v>27</v>
      </c>
      <c r="H31" s="15" t="s">
        <v>25</v>
      </c>
      <c r="I31" s="15" t="s">
        <v>191</v>
      </c>
      <c r="J31" s="15" t="s">
        <v>191</v>
      </c>
      <c r="K31" s="15" t="s">
        <v>192</v>
      </c>
      <c r="L31" s="18" t="s">
        <v>73</v>
      </c>
      <c r="M31" s="14" t="s">
        <v>180</v>
      </c>
      <c r="N31" s="14" t="s">
        <v>25</v>
      </c>
      <c r="O31" s="11" t="n">
        <v>4</v>
      </c>
      <c r="P31" s="19" t="n">
        <v>0</v>
      </c>
      <c r="Q31" s="20" t="n">
        <f aca="false">IF(O31=0,0,P31/O31)</f>
        <v>0</v>
      </c>
    </row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9">
    <mergeCell ref="A1:Q1"/>
    <mergeCell ref="A2:Q2"/>
    <mergeCell ref="A3:Q3"/>
    <mergeCell ref="A5:Q5"/>
    <mergeCell ref="A9:Q9"/>
    <mergeCell ref="A13:Q13"/>
    <mergeCell ref="A15:Q15"/>
    <mergeCell ref="A25:Q25"/>
    <mergeCell ref="A28:Q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2026-03-19T16:07:41Z</dcterms:created>
  <dc:creator>openpyxl</dc:creator>
  <dc:description/>
  <dc:language>en-US</dc:language>
  <cp:lastModifiedBy/>
  <dcterms:modified xsi:type="dcterms:W3CDTF">2026-03-30T23:02:55Z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