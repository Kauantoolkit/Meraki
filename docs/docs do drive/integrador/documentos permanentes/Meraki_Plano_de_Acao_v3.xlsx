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Ação Meraki" sheetId="1" r:id="rId4"/>
  </sheets>
  <definedNames/>
  <calcPr/>
  <extLst>
    <ext uri="GoogleSheetsCustomDataVersion2">
      <go:sheetsCustomData xmlns:go="http://customooxmlschemas.google.com/" r:id="rId5" roundtripDataChecksum="zLGz4Zugz3kxzleV4k/s3lUcyZrAHlS/NrtUxp8E8h0="/>
    </ext>
  </extLst>
</workbook>
</file>

<file path=xl/sharedStrings.xml><?xml version="1.0" encoding="utf-8"?>
<sst xmlns="http://schemas.openxmlformats.org/spreadsheetml/2006/main" count="320" uniqueCount="194">
  <si>
    <t>MERAKI — Plataforma de Contratação Baseada em Projetos</t>
  </si>
  <si>
    <t>PLANO DE AÇÃO DETALHADO — v2.0  |  Baseado no DRS v1.0  |  Equipe: Kauan · Kaio · Joás · Tales</t>
  </si>
  <si>
    <t>Legenda:  ✔ CONCLUÍDA   ⚠ ATRASADA   ○ A INICIAR   ◑ EM ANDAMENTO</t>
  </si>
  <si>
    <t>#</t>
  </si>
  <si>
    <t>Fase</t>
  </si>
  <si>
    <t>Entregável / Tarefa</t>
  </si>
  <si>
    <t>Detalhamento (Como)</t>
  </si>
  <si>
    <t>RF/RN Associados</t>
  </si>
  <si>
    <t>Critério de Aceite</t>
  </si>
  <si>
    <t>Responsável</t>
  </si>
  <si>
    <t>Apoio</t>
  </si>
  <si>
    <t>Início</t>
  </si>
  <si>
    <t>Fim</t>
  </si>
  <si>
    <t>Duração</t>
  </si>
  <si>
    <t>Status</t>
  </si>
  <si>
    <t>Dependências</t>
  </si>
  <si>
    <t>Observações</t>
  </si>
  <si>
    <t>H. Estimadas</t>
  </si>
  <si>
    <t>H. Realizadas</t>
  </si>
  <si>
    <t>% Conclusão</t>
  </si>
  <si>
    <t xml:space="preserve">  1 – PLANEJAMENTO</t>
  </si>
  <si>
    <t>T1</t>
  </si>
  <si>
    <t>1 – Planejamento</t>
  </si>
  <si>
    <t>Definição da Proposta e Problema</t>
  </si>
  <si>
    <t>Mapear o problema de contratação técnica não-estruturada; definir proposta de valor da Meraki; documentar objetivos do sistema.</t>
  </si>
  <si>
    <t>—</t>
  </si>
  <si>
    <t>Documento de visão geral aprovado; problema claramente delimitado.</t>
  </si>
  <si>
    <t>Todos</t>
  </si>
  <si>
    <t>02/03/2026</t>
  </si>
  <si>
    <t>08/03/2026</t>
  </si>
  <si>
    <t>7 dias</t>
  </si>
  <si>
    <t>CONCLUÍDA</t>
  </si>
  <si>
    <t>Concluído conforme planejado.</t>
  </si>
  <si>
    <t>T2</t>
  </si>
  <si>
    <t>Documentação Inicial (DRS v1.0)</t>
  </si>
  <si>
    <t>Estruturar DRS com: visão geral, DDD, bounded contexts, entidades, RFs, RNFs, regras de negócio e arquitetura de microserviços.</t>
  </si>
  <si>
    <t>RF01–RF14 | RNF01–RNF10 | RN01–RN07</t>
  </si>
  <si>
    <t>DRS v1.0 revisado e aprovado pela equipe; todos os RFs/RNFs/RNs documentados.</t>
  </si>
  <si>
    <t>Kauan</t>
  </si>
  <si>
    <t>DRS v1.0 entregue.</t>
  </si>
  <si>
    <t>T3</t>
  </si>
  <si>
    <t>Levantamento e Validação de Requisitos</t>
  </si>
  <si>
    <t>Identificar e detalhar RF01–RF14 e RNF01–RNF10; validar regras de negócio RN01–RN07; mapear casos de uso principais.</t>
  </si>
  <si>
    <t>Matriz de rastreabilidade preenchida; todos os requisitos revisados e sem conflitos.</t>
  </si>
  <si>
    <t xml:space="preserve">  2 – MODELAGEM</t>
  </si>
  <si>
    <t>T4</t>
  </si>
  <si>
    <t>2 – Modelagem</t>
  </si>
  <si>
    <t>Modelagem UML e DDD</t>
  </si>
  <si>
    <t>Criar diagrama de classes, diagrama de sequência dos fluxos principais; definir bounded contexts; mapear entidades.</t>
  </si>
  <si>
    <t>RF01–RF14 | RN01–RN07 | RNF03 | RNF09</t>
  </si>
  <si>
    <t>Diagramas revisados pela equipe; bounded contexts sem sobreposição.</t>
  </si>
  <si>
    <t>09/03/2026</t>
  </si>
  <si>
    <t>15/03/2026</t>
  </si>
  <si>
    <t>Concluida com atraso (30-03)</t>
  </si>
  <si>
    <t>T1–T3</t>
  </si>
  <si>
    <t>1-Em andamento. Kauan gerou esquemas iniciais; pontos pendentes de decisão em grupo. 2- Terminei, contudo pode ser que simplifiquemos algumas partes pois ficou bem extenso</t>
  </si>
  <si>
    <t>T5a</t>
  </si>
  <si>
    <t>Prototipação de Telas (UI/UX)</t>
  </si>
  <si>
    <t>Prototipar telas: cadastro, criação de projetos, envio de propostas, board Kanban, perfis públicos.</t>
  </si>
  <si>
    <t>RF01–RF08 | RF12 | RF13</t>
  </si>
  <si>
    <t>Protótipos validados; fluxo de navegação completo sem gaps.</t>
  </si>
  <si>
    <t>Joás</t>
  </si>
  <si>
    <t>Tales</t>
  </si>
  <si>
    <t>16/03/2026</t>
  </si>
  <si>
    <t>29/03/2026</t>
  </si>
  <si>
    <t>14 dias</t>
  </si>
  <si>
    <t>Paralelo a T5b.</t>
  </si>
  <si>
    <t>T5b</t>
  </si>
  <si>
    <t>Design de Contratos de API</t>
  </si>
  <si>
    <t>Definir contratos OpenAPI/Swagger para todos os microserviços antes da codificação; documentar endpoints, payloads e eventos de mensageria.</t>
  </si>
  <si>
    <t>RNF07 | RNF10</t>
  </si>
  <si>
    <t>Contratos OpenAPI revisados por todos; sem ambiguidade nos endpoints críticos.</t>
  </si>
  <si>
    <t>Kaio</t>
  </si>
  <si>
    <t>Atraso</t>
  </si>
  <si>
    <t>Paralelo a T5a. Crítico para evitar inconsistências de integração.</t>
  </si>
  <si>
    <t xml:space="preserve">  3 – INFRAESTRUTURA</t>
  </si>
  <si>
    <t>T6</t>
  </si>
  <si>
    <t>3 – Infraestrutura</t>
  </si>
  <si>
    <t>Setup de Infraestrutura e Arquitetura Base</t>
  </si>
  <si>
    <t>Configurar monorepo; Docker Compose com PostgreSQL por serviço; RabbitMQ/Kafka; CI/CD básico.</t>
  </si>
  <si>
    <t>RNF03 | RNF05 | RNF09 | RNF10</t>
  </si>
  <si>
    <t>Docker Compose sobe todos os serviços; mensageria funcional; README com instruções.</t>
  </si>
  <si>
    <t>30/03/2026</t>
  </si>
  <si>
    <t>05/04/2026</t>
  </si>
  <si>
    <t>A INICIAR</t>
  </si>
  <si>
    <t>T5a | T5b</t>
  </si>
  <si>
    <t xml:space="preserve">  4 – BACKEND CORE</t>
  </si>
  <si>
    <t>T7a</t>
  </si>
  <si>
    <t>4 – Backend Core</t>
  </si>
  <si>
    <t>user-service (Identity &amp; Access)</t>
  </si>
  <si>
    <t>Cadastro e autenticação JWT de empresas e especialistas; CRUD de perfis; autorização por roles; proteção SQL Injection/XSS; logs de auditoria.</t>
  </si>
  <si>
    <t>RF01 | RF02 | RNF01 | RNF06 | RNF08</t>
  </si>
  <si>
    <t>Autenticação funcional; JWT emitido/validado; CRUD de usuários sem vulnerabilidades.</t>
  </si>
  <si>
    <t>06/04/2026</t>
  </si>
  <si>
    <t>19/04/2026</t>
  </si>
  <si>
    <t>Par 1 – desenvolvimento paralelo com T7b.</t>
  </si>
  <si>
    <t>T7b</t>
  </si>
  <si>
    <t>project-service — Início</t>
  </si>
  <si>
    <t>Setup do project-service; estrutura de entidades Project e Milestone; endpoints base de criação de projeto (RF03).</t>
  </si>
  <si>
    <t>RF03 | RNF07</t>
  </si>
  <si>
    <t>Estrutura de serviço funcional; endpoint POST /projects retornando corretamente.</t>
  </si>
  <si>
    <t>Par 1 – desenvolvimento paralelo com T7a.</t>
  </si>
  <si>
    <t>T8a</t>
  </si>
  <si>
    <t>project-service — Conclusão</t>
  </si>
  <si>
    <t>Milestones sequenciais (RN04); validação de escopo (RN01); registro automático de histórico (RN07); Swagger gerado.</t>
  </si>
  <si>
    <t>RF04 | RN01 | RN04 | RN07 | RNF07</t>
  </si>
  <si>
    <t>Milestones com ordem validada; RN01 bloqueando escopo incompleto; Swagger/OpenAPI gerado.</t>
  </si>
  <si>
    <t>20/04/2026</t>
  </si>
  <si>
    <t>03/05/2026</t>
  </si>
  <si>
    <t>T7a | T7b</t>
  </si>
  <si>
    <t>Par 2 – desenvolvimento paralelo com T8b.</t>
  </si>
  <si>
    <t>T8b</t>
  </si>
  <si>
    <t>bidding-service — Início</t>
  </si>
  <si>
    <t>Setup do bidding-service; estrutura da entidade Bid; endpoint de envio de proposta com validação de unicidade por especialista (RN02).</t>
  </si>
  <si>
    <t>RF05 | RN02</t>
  </si>
  <si>
    <t>Endpoint POST /bids funcional; especialista não consegue enviar segunda proposta.</t>
  </si>
  <si>
    <t>Par 2 – desenvolvimento paralelo com T8a.</t>
  </si>
  <si>
    <t>T9a</t>
  </si>
  <si>
    <t>bidding-service — Conclusão</t>
  </si>
  <si>
    <t>Avaliação de propostas (RF06); seleção de vencedor único (RF07 + RN03); notificação de resultado.</t>
  </si>
  <si>
    <t>RF06 | RF07 | RN03</t>
  </si>
  <si>
    <t>Empresa seleciona exatamente um vencedor; fluxo completo de licitação testado.</t>
  </si>
  <si>
    <t>04/05/2026</t>
  </si>
  <si>
    <t>17/05/2026</t>
  </si>
  <si>
    <t>T8a | T8b</t>
  </si>
  <si>
    <t>Par 3 – desenvolvimento paralelo com T9b.</t>
  </si>
  <si>
    <t>T9b</t>
  </si>
  <si>
    <t>delivery-service — Início</t>
  </si>
  <si>
    <t>Setup do delivery-service; estrutura do Kanban; atualização de status por milestone (RF08).</t>
  </si>
  <si>
    <t>RF08 | RNF10</t>
  </si>
  <si>
    <t>Board Kanban funcional com colunas A Fazer / Em Andamento / Concluído.</t>
  </si>
  <si>
    <t>Par 3 – desenvolvimento paralelo com T9a.</t>
  </si>
  <si>
    <t>T10a</t>
  </si>
  <si>
    <t>delivery-service — Conclusão</t>
  </si>
  <si>
    <t>Execução sequencial de milestones (RN04); publicação do evento 'milestone_validada' via mensageria (RNF10); integração com payment-service.</t>
  </si>
  <si>
    <t>RF09 | RN04 | RNF10</t>
  </si>
  <si>
    <t>Milestone só avança quando anterior concluída; evento publicado no broker; integração testada.</t>
  </si>
  <si>
    <t>18/05/2026</t>
  </si>
  <si>
    <t>31/05/2026</t>
  </si>
  <si>
    <t>T9a | T9b</t>
  </si>
  <si>
    <t>Par 4 – desenvolvimento paralelo com T10b.</t>
  </si>
  <si>
    <t>T10b</t>
  </si>
  <si>
    <t>payment-service — Início</t>
  </si>
  <si>
    <t>Setup do payment-service; consumo de eventos do delivery-service; estrutura de transações financeiras.</t>
  </si>
  <si>
    <t>RF10 | RNF04 | RNF10</t>
  </si>
  <si>
    <t>Serviço consome evento do broker sem erros; estrutura de transação criada.</t>
  </si>
  <si>
    <t>Par 4 – desenvolvimento paralelo com T10a.</t>
  </si>
  <si>
    <t>T11</t>
  </si>
  <si>
    <t>payment-service — Conclusão</t>
  </si>
  <si>
    <t>Liberação de pagamento pós-validação (RN05); retenção de taxa (RN06); consistência transacional com rollback (RNF04); logs de auditoria (RNF06).</t>
  </si>
  <si>
    <t>RN05 | RN06 | RNF04 | RNF06</t>
  </si>
  <si>
    <t>Pagamento bloqueado enquanto milestone não validada; taxa retida corretamente; log auditável.</t>
  </si>
  <si>
    <t>01/06/2026</t>
  </si>
  <si>
    <t>14/06/2026</t>
  </si>
  <si>
    <t>T10a | T10b</t>
  </si>
  <si>
    <t xml:space="preserve">  5 – FRONTEND + PORTFOLIO</t>
  </si>
  <si>
    <t>T12a</t>
  </si>
  <si>
    <t>5 – Frontend + Portfolio</t>
  </si>
  <si>
    <t>Frontend Next.js</t>
  </si>
  <si>
    <t>Desenvolver frontend React/Next.js integrando todos os microserviços; responsividade; UX das telas prototipadas em T5a.</t>
  </si>
  <si>
    <t>RF01–RF14</t>
  </si>
  <si>
    <t>Frontend integrado com todos os endpoints; telas funcionais conforme protótipos.</t>
  </si>
  <si>
    <t>28 dias</t>
  </si>
  <si>
    <t>T5a | T7a</t>
  </si>
  <si>
    <t>Paralelo ao backend core.</t>
  </si>
  <si>
    <t>T12b</t>
  </si>
  <si>
    <t>portfolio-service</t>
  </si>
  <si>
    <t>Histórico de entregas por especialista/empresa (RF11); perfis públicos (RF12/RF13); histórico profissional de freelancers (RF14).</t>
  </si>
  <si>
    <t>RF11 | RF12 | RF13 | RF14</t>
  </si>
  <si>
    <t>Perfis públicos acessíveis sem autenticação; histórico exibindo projetos concluídos.</t>
  </si>
  <si>
    <t>Paralelo ao backend final.</t>
  </si>
  <si>
    <t xml:space="preserve">  6 – QA &amp; ENTREGA</t>
  </si>
  <si>
    <t>T13</t>
  </si>
  <si>
    <t>6 – QA &amp; Entrega</t>
  </si>
  <si>
    <t>Testes Integrados e Correção de Bugs</t>
  </si>
  <si>
    <t>Testes end-to-end dos fluxos críticos; testes de segurança (SQL Injection, XSS, CSRF); validação de consistência entre microserviços; testes de carga básicos.</t>
  </si>
  <si>
    <t>RNF02 | RNF05 | RNF08 | RN01–RN07</t>
  </si>
  <si>
    <t>Todos os fluxos críticos passando; nenhuma vulnerabilidade crítica; bugs prioritários corrigidos.</t>
  </si>
  <si>
    <t>15/06/2026</t>
  </si>
  <si>
    <t>21/06/2026</t>
  </si>
  <si>
    <t>T7–T12b</t>
  </si>
  <si>
    <t>T14</t>
  </si>
  <si>
    <t>Preparação da Apresentação Final</t>
  </si>
  <si>
    <t>Consolidar documentação final; preparar slides com visão geral, DDD, arquitetura, demo; ensaiar demonstração ao vivo.</t>
  </si>
  <si>
    <t>Slides revisados por todos; demo funcional; documentação final entregue.</t>
  </si>
  <si>
    <t>22/06/2026</t>
  </si>
  <si>
    <t>25/06/2026</t>
  </si>
  <si>
    <t>4 dias</t>
  </si>
  <si>
    <t>T15</t>
  </si>
  <si>
    <t>Apresentação Final (Banca)</t>
  </si>
  <si>
    <t>Apresentar o projeto Meraki à banca: arquitetura, fluxos de negócio, demonstração ao vivo, rastreabilidade de requisitos.</t>
  </si>
  <si>
    <t>Apresentação realizada; sistema demonstrável ao vivo.</t>
  </si>
  <si>
    <t>26/06/2026</t>
  </si>
  <si>
    <t>1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</si>
</sst>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0.0"/>
      <color rgb="FFFFFFFF"/>
      <name val="Arial"/>
    </font>
    <font>
      <sz val="9.0"/>
      <color rgb="FF555555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10.0"/>
      <color rgb="FF533483"/>
      <name val="Arial"/>
    </font>
    <font>
      <sz val="10.0"/>
      <color rgb="FF000000"/>
      <name val="Arial"/>
    </font>
    <font>
      <b/>
      <sz val="10.0"/>
      <color rgb="FF1B5E20"/>
      <name val="Arial"/>
    </font>
    <font>
      <sz val="9.0"/>
      <color rgb="FF1A1A2E"/>
      <name val="Arial"/>
    </font>
    <font>
      <b/>
      <sz val="9.0"/>
      <color rgb="FF1A1A2E"/>
      <name val="Arial"/>
    </font>
    <font>
      <b/>
      <sz val="10.0"/>
      <color rgb="FFB71C1C"/>
      <name val="Arial"/>
    </font>
    <font>
      <b/>
      <sz val="10.0"/>
      <color rgb="FF00FF00"/>
      <name val="Arial"/>
    </font>
    <font>
      <b/>
      <sz val="10.0"/>
      <color rgb="FFFF0000"/>
      <name val="Arial"/>
    </font>
    <font>
      <b/>
      <sz val="10.0"/>
      <color rgb="FF0D47A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533483"/>
        <bgColor rgb="FF533483"/>
      </patternFill>
    </fill>
    <fill>
      <patternFill patternType="solid">
        <fgColor rgb="FF3B2260"/>
        <bgColor rgb="FF3B2260"/>
      </patternFill>
    </fill>
    <fill>
      <patternFill patternType="solid">
        <fgColor rgb="FFF5F5F5"/>
        <bgColor rgb="FFF5F5F5"/>
      </patternFill>
    </fill>
    <fill>
      <patternFill patternType="solid">
        <fgColor rgb="FF16213E"/>
        <bgColor rgb="FF16213E"/>
      </patternFill>
    </fill>
    <fill>
      <patternFill patternType="solid">
        <fgColor rgb="FF0A4D68"/>
        <bgColor rgb="FF0A4D68"/>
      </patternFill>
    </fill>
    <fill>
      <patternFill patternType="solid">
        <fgColor rgb="FFC8E6C9"/>
        <bgColor rgb="FFC8E6C9"/>
      </patternFill>
    </fill>
    <fill>
      <patternFill patternType="solid">
        <fgColor rgb="FFE8F4FD"/>
        <bgColor rgb="FFE8F4FD"/>
      </patternFill>
    </fill>
    <fill>
      <patternFill patternType="solid">
        <fgColor rgb="FFEAF6EE"/>
        <bgColor rgb="FFEAF6EE"/>
      </patternFill>
    </fill>
    <fill>
      <patternFill patternType="solid">
        <fgColor rgb="FFD5EFCE"/>
        <bgColor rgb="FFD5EFCE"/>
      </patternFill>
    </fill>
    <fill>
      <patternFill patternType="solid">
        <fgColor rgb="FFFFFFFF"/>
        <bgColor rgb="FFFFFFFF"/>
      </patternFill>
    </fill>
    <fill>
      <patternFill patternType="solid">
        <fgColor rgb="FFFFCDD2"/>
        <bgColor rgb="FFFFCDD2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5" fillId="8" fontId="10" numFmtId="0" xfId="0" applyAlignment="1" applyBorder="1" applyFill="1" applyFont="1">
      <alignment horizontal="center" shrinkToFit="0" vertical="center" wrapText="1"/>
    </xf>
    <xf borderId="5" fillId="9" fontId="10" numFmtId="0" xfId="0" applyAlignment="1" applyBorder="1" applyFill="1" applyFont="1">
      <alignment horizontal="center" shrinkToFit="0" vertical="center" wrapText="1"/>
    </xf>
    <xf borderId="5" fillId="10" fontId="11" numFmtId="9" xfId="0" applyAlignment="1" applyBorder="1" applyFill="1" applyFont="1" applyNumberFormat="1">
      <alignment horizontal="center" shrinkToFit="0" vertical="center" wrapText="1"/>
    </xf>
    <xf borderId="4" fillId="11" fontId="8" numFmtId="0" xfId="0" applyAlignment="1" applyBorder="1" applyFill="1" applyFont="1">
      <alignment horizontal="left" shrinkToFit="0" vertical="center" wrapText="1"/>
    </xf>
    <xf borderId="4" fillId="11" fontId="8" numFmtId="0" xfId="0" applyAlignment="1" applyBorder="1" applyFont="1">
      <alignment horizontal="center" shrinkToFit="0" vertical="center" wrapText="1"/>
    </xf>
    <xf borderId="4" fillId="12" fontId="12" numFmtId="0" xfId="0" applyAlignment="1" applyBorder="1" applyFill="1" applyFont="1">
      <alignment horizontal="center" shrinkToFit="0" vertical="center" wrapText="1"/>
    </xf>
    <xf borderId="4" fillId="13" fontId="13" numFmtId="0" xfId="0" applyAlignment="1" applyBorder="1" applyFill="1" applyFont="1">
      <alignment horizontal="center" shrinkToFit="0" vertical="center" wrapText="1"/>
    </xf>
    <xf borderId="4" fillId="13" fontId="14" numFmtId="0" xfId="0" applyAlignment="1" applyBorder="1" applyFont="1">
      <alignment horizontal="center" readingOrder="0" shrinkToFit="0" vertical="center" wrapText="1"/>
    </xf>
    <xf borderId="5" fillId="14" fontId="10" numFmtId="0" xfId="0" applyAlignment="1" applyBorder="1" applyFill="1" applyFont="1">
      <alignment horizontal="center" shrinkToFit="0" vertical="center" wrapText="1"/>
    </xf>
    <xf borderId="5" fillId="14" fontId="11" numFmtId="9" xfId="0" applyAlignment="1" applyBorder="1" applyFont="1" applyNumberFormat="1">
      <alignment horizontal="center" shrinkToFit="0" vertical="center" wrapText="1"/>
    </xf>
    <xf borderId="4" fillId="13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32.0"/>
    <col customWidth="1" min="4" max="4" width="50.0"/>
    <col customWidth="1" min="5" max="5" width="28.0"/>
    <col customWidth="1" min="6" max="6" width="45.0"/>
    <col customWidth="1" min="7" max="7" width="14.0"/>
    <col customWidth="1" min="8" max="11" width="12.0"/>
    <col customWidth="1" min="12" max="12" width="14.0"/>
    <col customWidth="1" min="13" max="13" width="20.0"/>
    <col customWidth="1" min="14" max="14" width="35.0"/>
    <col customWidth="1" min="15" max="17" width="13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27.7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7" t="s">
        <v>17</v>
      </c>
      <c r="P4" s="7" t="s">
        <v>18</v>
      </c>
      <c r="Q4" s="7" t="s">
        <v>19</v>
      </c>
    </row>
    <row r="5" ht="18.0" customHeight="1">
      <c r="A5" s="8" t="s">
        <v>20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</row>
    <row r="6" ht="45.0" customHeight="1">
      <c r="A6" s="9" t="s">
        <v>21</v>
      </c>
      <c r="B6" s="10" t="s">
        <v>22</v>
      </c>
      <c r="C6" s="10" t="s">
        <v>23</v>
      </c>
      <c r="D6" s="10" t="s">
        <v>24</v>
      </c>
      <c r="E6" s="10" t="s">
        <v>25</v>
      </c>
      <c r="F6" s="10" t="s">
        <v>26</v>
      </c>
      <c r="G6" s="11" t="s">
        <v>27</v>
      </c>
      <c r="H6" s="11" t="s">
        <v>25</v>
      </c>
      <c r="I6" s="11" t="s">
        <v>28</v>
      </c>
      <c r="J6" s="11" t="s">
        <v>29</v>
      </c>
      <c r="K6" s="11" t="s">
        <v>30</v>
      </c>
      <c r="L6" s="12" t="s">
        <v>31</v>
      </c>
      <c r="M6" s="10" t="s">
        <v>25</v>
      </c>
      <c r="N6" s="10" t="s">
        <v>32</v>
      </c>
      <c r="O6" s="13">
        <v>8.0</v>
      </c>
      <c r="P6" s="14">
        <v>8.0</v>
      </c>
      <c r="Q6" s="15">
        <f t="shared" ref="Q6:Q8" si="1">IF(O6=0,0,P6/O6)</f>
        <v>1</v>
      </c>
    </row>
    <row r="7" ht="45.0" customHeight="1">
      <c r="A7" s="9" t="s">
        <v>33</v>
      </c>
      <c r="B7" s="16" t="s">
        <v>22</v>
      </c>
      <c r="C7" s="16" t="s">
        <v>34</v>
      </c>
      <c r="D7" s="16" t="s">
        <v>35</v>
      </c>
      <c r="E7" s="16" t="s">
        <v>36</v>
      </c>
      <c r="F7" s="16" t="s">
        <v>37</v>
      </c>
      <c r="G7" s="17" t="s">
        <v>38</v>
      </c>
      <c r="H7" s="17" t="s">
        <v>27</v>
      </c>
      <c r="I7" s="17" t="s">
        <v>28</v>
      </c>
      <c r="J7" s="17" t="s">
        <v>29</v>
      </c>
      <c r="K7" s="17" t="s">
        <v>30</v>
      </c>
      <c r="L7" s="12" t="s">
        <v>31</v>
      </c>
      <c r="M7" s="16" t="s">
        <v>25</v>
      </c>
      <c r="N7" s="16" t="s">
        <v>39</v>
      </c>
      <c r="O7" s="13">
        <v>12.0</v>
      </c>
      <c r="P7" s="14">
        <v>12.0</v>
      </c>
      <c r="Q7" s="15">
        <f t="shared" si="1"/>
        <v>1</v>
      </c>
    </row>
    <row r="8" ht="45.0" customHeight="1">
      <c r="A8" s="9" t="s">
        <v>40</v>
      </c>
      <c r="B8" s="10" t="s">
        <v>22</v>
      </c>
      <c r="C8" s="10" t="s">
        <v>41</v>
      </c>
      <c r="D8" s="10" t="s">
        <v>42</v>
      </c>
      <c r="E8" s="10" t="s">
        <v>36</v>
      </c>
      <c r="F8" s="10" t="s">
        <v>43</v>
      </c>
      <c r="G8" s="11" t="s">
        <v>27</v>
      </c>
      <c r="H8" s="11" t="s">
        <v>25</v>
      </c>
      <c r="I8" s="11" t="s">
        <v>28</v>
      </c>
      <c r="J8" s="11" t="s">
        <v>29</v>
      </c>
      <c r="K8" s="11" t="s">
        <v>30</v>
      </c>
      <c r="L8" s="12" t="s">
        <v>31</v>
      </c>
      <c r="M8" s="10" t="s">
        <v>25</v>
      </c>
      <c r="N8" s="10" t="s">
        <v>32</v>
      </c>
      <c r="O8" s="13">
        <v>8.0</v>
      </c>
      <c r="P8" s="14">
        <v>8.0</v>
      </c>
      <c r="Q8" s="15">
        <f t="shared" si="1"/>
        <v>1</v>
      </c>
    </row>
    <row r="9" ht="18.0" customHeight="1">
      <c r="A9" s="8" t="s">
        <v>44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3"/>
    </row>
    <row r="10" ht="45.0" customHeight="1">
      <c r="A10" s="9" t="s">
        <v>45</v>
      </c>
      <c r="B10" s="10" t="s">
        <v>46</v>
      </c>
      <c r="C10" s="10" t="s">
        <v>47</v>
      </c>
      <c r="D10" s="10" t="s">
        <v>48</v>
      </c>
      <c r="E10" s="10" t="s">
        <v>49</v>
      </c>
      <c r="F10" s="10" t="s">
        <v>50</v>
      </c>
      <c r="G10" s="11" t="s">
        <v>27</v>
      </c>
      <c r="H10" s="11" t="s">
        <v>27</v>
      </c>
      <c r="I10" s="11" t="s">
        <v>51</v>
      </c>
      <c r="J10" s="11" t="s">
        <v>52</v>
      </c>
      <c r="K10" s="11" t="s">
        <v>30</v>
      </c>
      <c r="L10" s="18" t="s">
        <v>53</v>
      </c>
      <c r="M10" s="10" t="s">
        <v>54</v>
      </c>
      <c r="N10" s="10" t="s">
        <v>55</v>
      </c>
      <c r="O10" s="13">
        <v>20.0</v>
      </c>
      <c r="P10" s="14">
        <v>28.0</v>
      </c>
      <c r="Q10" s="15">
        <f t="shared" ref="Q10:Q12" si="2">IF(O10=0,0,P10/O10)</f>
        <v>1.4</v>
      </c>
    </row>
    <row r="11" ht="45.0" customHeight="1">
      <c r="A11" s="9" t="s">
        <v>56</v>
      </c>
      <c r="B11" s="16" t="s">
        <v>46</v>
      </c>
      <c r="C11" s="16" t="s">
        <v>57</v>
      </c>
      <c r="D11" s="16" t="s">
        <v>58</v>
      </c>
      <c r="E11" s="16" t="s">
        <v>59</v>
      </c>
      <c r="F11" s="16" t="s">
        <v>60</v>
      </c>
      <c r="G11" s="17" t="s">
        <v>61</v>
      </c>
      <c r="H11" s="17" t="s">
        <v>62</v>
      </c>
      <c r="I11" s="17" t="s">
        <v>63</v>
      </c>
      <c r="J11" s="17" t="s">
        <v>64</v>
      </c>
      <c r="K11" s="17" t="s">
        <v>65</v>
      </c>
      <c r="L11" s="19" t="s">
        <v>31</v>
      </c>
      <c r="M11" s="16" t="s">
        <v>45</v>
      </c>
      <c r="N11" s="16" t="s">
        <v>66</v>
      </c>
      <c r="O11" s="13">
        <v>20.0</v>
      </c>
      <c r="P11" s="14">
        <v>20.0</v>
      </c>
      <c r="Q11" s="15">
        <f t="shared" si="2"/>
        <v>1</v>
      </c>
    </row>
    <row r="12" ht="45.0" customHeight="1">
      <c r="A12" s="9" t="s">
        <v>67</v>
      </c>
      <c r="B12" s="10" t="s">
        <v>46</v>
      </c>
      <c r="C12" s="10" t="s">
        <v>68</v>
      </c>
      <c r="D12" s="10" t="s">
        <v>69</v>
      </c>
      <c r="E12" s="10" t="s">
        <v>70</v>
      </c>
      <c r="F12" s="10" t="s">
        <v>71</v>
      </c>
      <c r="G12" s="11" t="s">
        <v>38</v>
      </c>
      <c r="H12" s="11" t="s">
        <v>72</v>
      </c>
      <c r="I12" s="11" t="s">
        <v>63</v>
      </c>
      <c r="J12" s="11" t="s">
        <v>64</v>
      </c>
      <c r="K12" s="11" t="s">
        <v>65</v>
      </c>
      <c r="L12" s="20" t="s">
        <v>73</v>
      </c>
      <c r="M12" s="10" t="s">
        <v>45</v>
      </c>
      <c r="N12" s="10" t="s">
        <v>74</v>
      </c>
      <c r="O12" s="13">
        <v>16.0</v>
      </c>
      <c r="P12" s="21">
        <v>0.0</v>
      </c>
      <c r="Q12" s="22">
        <f t="shared" si="2"/>
        <v>0</v>
      </c>
    </row>
    <row r="13" ht="18.0" customHeight="1">
      <c r="A13" s="8" t="s">
        <v>75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3"/>
    </row>
    <row r="14" ht="45.0" customHeight="1">
      <c r="A14" s="9" t="s">
        <v>76</v>
      </c>
      <c r="B14" s="10" t="s">
        <v>77</v>
      </c>
      <c r="C14" s="10" t="s">
        <v>78</v>
      </c>
      <c r="D14" s="10" t="s">
        <v>79</v>
      </c>
      <c r="E14" s="10" t="s">
        <v>80</v>
      </c>
      <c r="F14" s="10" t="s">
        <v>81</v>
      </c>
      <c r="G14" s="11" t="s">
        <v>72</v>
      </c>
      <c r="H14" s="11" t="s">
        <v>38</v>
      </c>
      <c r="I14" s="11" t="s">
        <v>82</v>
      </c>
      <c r="J14" s="11" t="s">
        <v>83</v>
      </c>
      <c r="K14" s="11" t="s">
        <v>30</v>
      </c>
      <c r="L14" s="23" t="s">
        <v>84</v>
      </c>
      <c r="M14" s="10" t="s">
        <v>85</v>
      </c>
      <c r="N14" s="10" t="s">
        <v>25</v>
      </c>
      <c r="O14" s="13">
        <v>16.0</v>
      </c>
      <c r="P14" s="21">
        <v>0.0</v>
      </c>
      <c r="Q14" s="22">
        <f>IF(O14=0,0,P14/O14)</f>
        <v>0</v>
      </c>
    </row>
    <row r="15" ht="18.0" customHeight="1">
      <c r="A15" s="8" t="s">
        <v>86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3"/>
    </row>
    <row r="16" ht="45.0" customHeight="1">
      <c r="A16" s="9" t="s">
        <v>87</v>
      </c>
      <c r="B16" s="10" t="s">
        <v>88</v>
      </c>
      <c r="C16" s="10" t="s">
        <v>89</v>
      </c>
      <c r="D16" s="10" t="s">
        <v>90</v>
      </c>
      <c r="E16" s="10" t="s">
        <v>91</v>
      </c>
      <c r="F16" s="10" t="s">
        <v>92</v>
      </c>
      <c r="G16" s="11" t="s">
        <v>61</v>
      </c>
      <c r="H16" s="11" t="s">
        <v>72</v>
      </c>
      <c r="I16" s="11" t="s">
        <v>93</v>
      </c>
      <c r="J16" s="11" t="s">
        <v>94</v>
      </c>
      <c r="K16" s="11" t="s">
        <v>65</v>
      </c>
      <c r="L16" s="23" t="s">
        <v>84</v>
      </c>
      <c r="M16" s="10" t="s">
        <v>76</v>
      </c>
      <c r="N16" s="10" t="s">
        <v>95</v>
      </c>
      <c r="O16" s="13">
        <v>28.0</v>
      </c>
      <c r="P16" s="21">
        <v>0.0</v>
      </c>
      <c r="Q16" s="22">
        <f t="shared" ref="Q16:Q24" si="3">IF(O16=0,0,P16/O16)</f>
        <v>0</v>
      </c>
    </row>
    <row r="17" ht="45.0" customHeight="1">
      <c r="A17" s="9" t="s">
        <v>96</v>
      </c>
      <c r="B17" s="16" t="s">
        <v>88</v>
      </c>
      <c r="C17" s="16" t="s">
        <v>97</v>
      </c>
      <c r="D17" s="16" t="s">
        <v>98</v>
      </c>
      <c r="E17" s="16" t="s">
        <v>99</v>
      </c>
      <c r="F17" s="16" t="s">
        <v>100</v>
      </c>
      <c r="G17" s="17" t="s">
        <v>38</v>
      </c>
      <c r="H17" s="17" t="s">
        <v>62</v>
      </c>
      <c r="I17" s="17" t="s">
        <v>93</v>
      </c>
      <c r="J17" s="17" t="s">
        <v>94</v>
      </c>
      <c r="K17" s="17" t="s">
        <v>65</v>
      </c>
      <c r="L17" s="23" t="s">
        <v>84</v>
      </c>
      <c r="M17" s="16" t="s">
        <v>76</v>
      </c>
      <c r="N17" s="16" t="s">
        <v>101</v>
      </c>
      <c r="O17" s="13">
        <v>24.0</v>
      </c>
      <c r="P17" s="21">
        <v>0.0</v>
      </c>
      <c r="Q17" s="22">
        <f t="shared" si="3"/>
        <v>0</v>
      </c>
    </row>
    <row r="18" ht="45.0" customHeight="1">
      <c r="A18" s="9" t="s">
        <v>102</v>
      </c>
      <c r="B18" s="10" t="s">
        <v>88</v>
      </c>
      <c r="C18" s="10" t="s">
        <v>103</v>
      </c>
      <c r="D18" s="10" t="s">
        <v>104</v>
      </c>
      <c r="E18" s="10" t="s">
        <v>105</v>
      </c>
      <c r="F18" s="10" t="s">
        <v>106</v>
      </c>
      <c r="G18" s="11" t="s">
        <v>38</v>
      </c>
      <c r="H18" s="11" t="s">
        <v>62</v>
      </c>
      <c r="I18" s="11" t="s">
        <v>107</v>
      </c>
      <c r="J18" s="11" t="s">
        <v>108</v>
      </c>
      <c r="K18" s="11" t="s">
        <v>65</v>
      </c>
      <c r="L18" s="23" t="s">
        <v>84</v>
      </c>
      <c r="M18" s="10" t="s">
        <v>109</v>
      </c>
      <c r="N18" s="10" t="s">
        <v>110</v>
      </c>
      <c r="O18" s="13">
        <v>24.0</v>
      </c>
      <c r="P18" s="21">
        <v>0.0</v>
      </c>
      <c r="Q18" s="22">
        <f t="shared" si="3"/>
        <v>0</v>
      </c>
    </row>
    <row r="19" ht="45.0" customHeight="1">
      <c r="A19" s="9" t="s">
        <v>111</v>
      </c>
      <c r="B19" s="16" t="s">
        <v>88</v>
      </c>
      <c r="C19" s="16" t="s">
        <v>112</v>
      </c>
      <c r="D19" s="16" t="s">
        <v>113</v>
      </c>
      <c r="E19" s="16" t="s">
        <v>114</v>
      </c>
      <c r="F19" s="16" t="s">
        <v>115</v>
      </c>
      <c r="G19" s="17" t="s">
        <v>61</v>
      </c>
      <c r="H19" s="17" t="s">
        <v>72</v>
      </c>
      <c r="I19" s="17" t="s">
        <v>107</v>
      </c>
      <c r="J19" s="17" t="s">
        <v>108</v>
      </c>
      <c r="K19" s="17" t="s">
        <v>65</v>
      </c>
      <c r="L19" s="23" t="s">
        <v>84</v>
      </c>
      <c r="M19" s="16" t="s">
        <v>109</v>
      </c>
      <c r="N19" s="16" t="s">
        <v>116</v>
      </c>
      <c r="O19" s="13">
        <v>24.0</v>
      </c>
      <c r="P19" s="21">
        <v>0.0</v>
      </c>
      <c r="Q19" s="22">
        <f t="shared" si="3"/>
        <v>0</v>
      </c>
    </row>
    <row r="20" ht="45.0" customHeight="1">
      <c r="A20" s="9" t="s">
        <v>117</v>
      </c>
      <c r="B20" s="10" t="s">
        <v>88</v>
      </c>
      <c r="C20" s="10" t="s">
        <v>118</v>
      </c>
      <c r="D20" s="10" t="s">
        <v>119</v>
      </c>
      <c r="E20" s="10" t="s">
        <v>120</v>
      </c>
      <c r="F20" s="10" t="s">
        <v>121</v>
      </c>
      <c r="G20" s="11" t="s">
        <v>62</v>
      </c>
      <c r="H20" s="11" t="s">
        <v>72</v>
      </c>
      <c r="I20" s="11" t="s">
        <v>122</v>
      </c>
      <c r="J20" s="11" t="s">
        <v>123</v>
      </c>
      <c r="K20" s="11" t="s">
        <v>65</v>
      </c>
      <c r="L20" s="23" t="s">
        <v>84</v>
      </c>
      <c r="M20" s="10" t="s">
        <v>124</v>
      </c>
      <c r="N20" s="10" t="s">
        <v>125</v>
      </c>
      <c r="O20" s="13">
        <v>20.0</v>
      </c>
      <c r="P20" s="21">
        <v>0.0</v>
      </c>
      <c r="Q20" s="22">
        <f t="shared" si="3"/>
        <v>0</v>
      </c>
    </row>
    <row r="21" ht="45.0" customHeight="1">
      <c r="A21" s="9" t="s">
        <v>126</v>
      </c>
      <c r="B21" s="16" t="s">
        <v>88</v>
      </c>
      <c r="C21" s="16" t="s">
        <v>127</v>
      </c>
      <c r="D21" s="16" t="s">
        <v>128</v>
      </c>
      <c r="E21" s="16" t="s">
        <v>129</v>
      </c>
      <c r="F21" s="16" t="s">
        <v>130</v>
      </c>
      <c r="G21" s="17" t="s">
        <v>38</v>
      </c>
      <c r="H21" s="17" t="s">
        <v>61</v>
      </c>
      <c r="I21" s="17" t="s">
        <v>122</v>
      </c>
      <c r="J21" s="17" t="s">
        <v>123</v>
      </c>
      <c r="K21" s="17" t="s">
        <v>65</v>
      </c>
      <c r="L21" s="23" t="s">
        <v>84</v>
      </c>
      <c r="M21" s="16" t="s">
        <v>124</v>
      </c>
      <c r="N21" s="16" t="s">
        <v>131</v>
      </c>
      <c r="O21" s="13">
        <v>20.0</v>
      </c>
      <c r="P21" s="21">
        <v>0.0</v>
      </c>
      <c r="Q21" s="22">
        <f t="shared" si="3"/>
        <v>0</v>
      </c>
    </row>
    <row r="22" ht="45.0" customHeight="1">
      <c r="A22" s="9" t="s">
        <v>132</v>
      </c>
      <c r="B22" s="10" t="s">
        <v>88</v>
      </c>
      <c r="C22" s="10" t="s">
        <v>133</v>
      </c>
      <c r="D22" s="10" t="s">
        <v>134</v>
      </c>
      <c r="E22" s="10" t="s">
        <v>135</v>
      </c>
      <c r="F22" s="10" t="s">
        <v>136</v>
      </c>
      <c r="G22" s="11" t="s">
        <v>38</v>
      </c>
      <c r="H22" s="11" t="s">
        <v>61</v>
      </c>
      <c r="I22" s="11" t="s">
        <v>137</v>
      </c>
      <c r="J22" s="11" t="s">
        <v>138</v>
      </c>
      <c r="K22" s="11" t="s">
        <v>65</v>
      </c>
      <c r="L22" s="23" t="s">
        <v>84</v>
      </c>
      <c r="M22" s="10" t="s">
        <v>139</v>
      </c>
      <c r="N22" s="10" t="s">
        <v>140</v>
      </c>
      <c r="O22" s="13">
        <v>20.0</v>
      </c>
      <c r="P22" s="21">
        <v>0.0</v>
      </c>
      <c r="Q22" s="22">
        <f t="shared" si="3"/>
        <v>0</v>
      </c>
    </row>
    <row r="23" ht="45.0" customHeight="1">
      <c r="A23" s="9" t="s">
        <v>141</v>
      </c>
      <c r="B23" s="16" t="s">
        <v>88</v>
      </c>
      <c r="C23" s="16" t="s">
        <v>142</v>
      </c>
      <c r="D23" s="16" t="s">
        <v>143</v>
      </c>
      <c r="E23" s="16" t="s">
        <v>144</v>
      </c>
      <c r="F23" s="16" t="s">
        <v>145</v>
      </c>
      <c r="G23" s="17" t="s">
        <v>62</v>
      </c>
      <c r="H23" s="17" t="s">
        <v>72</v>
      </c>
      <c r="I23" s="17" t="s">
        <v>137</v>
      </c>
      <c r="J23" s="17" t="s">
        <v>138</v>
      </c>
      <c r="K23" s="17" t="s">
        <v>65</v>
      </c>
      <c r="L23" s="23" t="s">
        <v>84</v>
      </c>
      <c r="M23" s="16" t="s">
        <v>139</v>
      </c>
      <c r="N23" s="16" t="s">
        <v>146</v>
      </c>
      <c r="O23" s="13">
        <v>20.0</v>
      </c>
      <c r="P23" s="21">
        <v>0.0</v>
      </c>
      <c r="Q23" s="22">
        <f t="shared" si="3"/>
        <v>0</v>
      </c>
    </row>
    <row r="24" ht="45.0" customHeight="1">
      <c r="A24" s="9" t="s">
        <v>147</v>
      </c>
      <c r="B24" s="10" t="s">
        <v>88</v>
      </c>
      <c r="C24" s="10" t="s">
        <v>148</v>
      </c>
      <c r="D24" s="10" t="s">
        <v>149</v>
      </c>
      <c r="E24" s="10" t="s">
        <v>150</v>
      </c>
      <c r="F24" s="10" t="s">
        <v>151</v>
      </c>
      <c r="G24" s="11" t="s">
        <v>62</v>
      </c>
      <c r="H24" s="11" t="s">
        <v>72</v>
      </c>
      <c r="I24" s="11" t="s">
        <v>152</v>
      </c>
      <c r="J24" s="11" t="s">
        <v>153</v>
      </c>
      <c r="K24" s="11" t="s">
        <v>65</v>
      </c>
      <c r="L24" s="23" t="s">
        <v>84</v>
      </c>
      <c r="M24" s="10" t="s">
        <v>154</v>
      </c>
      <c r="N24" s="10" t="s">
        <v>25</v>
      </c>
      <c r="O24" s="13">
        <v>20.0</v>
      </c>
      <c r="P24" s="21">
        <v>0.0</v>
      </c>
      <c r="Q24" s="22">
        <f t="shared" si="3"/>
        <v>0</v>
      </c>
    </row>
    <row r="25" ht="18.0" customHeight="1">
      <c r="A25" s="8" t="s">
        <v>155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"/>
    </row>
    <row r="26" ht="45.0" customHeight="1">
      <c r="A26" s="9" t="s">
        <v>156</v>
      </c>
      <c r="B26" s="10" t="s">
        <v>157</v>
      </c>
      <c r="C26" s="10" t="s">
        <v>158</v>
      </c>
      <c r="D26" s="10" t="s">
        <v>159</v>
      </c>
      <c r="E26" s="10" t="s">
        <v>160</v>
      </c>
      <c r="F26" s="10" t="s">
        <v>161</v>
      </c>
      <c r="G26" s="11" t="s">
        <v>61</v>
      </c>
      <c r="H26" s="11" t="s">
        <v>62</v>
      </c>
      <c r="I26" s="11" t="s">
        <v>137</v>
      </c>
      <c r="J26" s="11" t="s">
        <v>153</v>
      </c>
      <c r="K26" s="11" t="s">
        <v>162</v>
      </c>
      <c r="L26" s="23" t="s">
        <v>84</v>
      </c>
      <c r="M26" s="10" t="s">
        <v>163</v>
      </c>
      <c r="N26" s="10" t="s">
        <v>164</v>
      </c>
      <c r="O26" s="13">
        <v>40.0</v>
      </c>
      <c r="P26" s="21">
        <v>0.0</v>
      </c>
      <c r="Q26" s="22">
        <f t="shared" ref="Q26:Q27" si="4">IF(O26=0,0,P26/O26)</f>
        <v>0</v>
      </c>
    </row>
    <row r="27" ht="45.0" customHeight="1">
      <c r="A27" s="9" t="s">
        <v>165</v>
      </c>
      <c r="B27" s="16" t="s">
        <v>157</v>
      </c>
      <c r="C27" s="16" t="s">
        <v>166</v>
      </c>
      <c r="D27" s="16" t="s">
        <v>167</v>
      </c>
      <c r="E27" s="16" t="s">
        <v>168</v>
      </c>
      <c r="F27" s="16" t="s">
        <v>169</v>
      </c>
      <c r="G27" s="17" t="s">
        <v>38</v>
      </c>
      <c r="H27" s="17" t="s">
        <v>61</v>
      </c>
      <c r="I27" s="17" t="s">
        <v>152</v>
      </c>
      <c r="J27" s="17" t="s">
        <v>153</v>
      </c>
      <c r="K27" s="17" t="s">
        <v>65</v>
      </c>
      <c r="L27" s="23" t="s">
        <v>84</v>
      </c>
      <c r="M27" s="16" t="s">
        <v>154</v>
      </c>
      <c r="N27" s="16" t="s">
        <v>170</v>
      </c>
      <c r="O27" s="13">
        <v>20.0</v>
      </c>
      <c r="P27" s="21">
        <v>0.0</v>
      </c>
      <c r="Q27" s="22">
        <f t="shared" si="4"/>
        <v>0</v>
      </c>
    </row>
    <row r="28" ht="18.0" customHeight="1">
      <c r="A28" s="8" t="s">
        <v>171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3"/>
    </row>
    <row r="29" ht="45.0" customHeight="1">
      <c r="A29" s="9" t="s">
        <v>172</v>
      </c>
      <c r="B29" s="16" t="s">
        <v>173</v>
      </c>
      <c r="C29" s="16" t="s">
        <v>174</v>
      </c>
      <c r="D29" s="16" t="s">
        <v>175</v>
      </c>
      <c r="E29" s="16" t="s">
        <v>176</v>
      </c>
      <c r="F29" s="16" t="s">
        <v>177</v>
      </c>
      <c r="G29" s="17" t="s">
        <v>27</v>
      </c>
      <c r="H29" s="17" t="s">
        <v>25</v>
      </c>
      <c r="I29" s="17" t="s">
        <v>178</v>
      </c>
      <c r="J29" s="17" t="s">
        <v>179</v>
      </c>
      <c r="K29" s="17" t="s">
        <v>30</v>
      </c>
      <c r="L29" s="23" t="s">
        <v>84</v>
      </c>
      <c r="M29" s="16" t="s">
        <v>180</v>
      </c>
      <c r="N29" s="16" t="s">
        <v>25</v>
      </c>
      <c r="O29" s="13">
        <v>16.0</v>
      </c>
      <c r="P29" s="21">
        <v>0.0</v>
      </c>
      <c r="Q29" s="22">
        <f t="shared" ref="Q29:Q31" si="5">IF(O29=0,0,P29/O29)</f>
        <v>0</v>
      </c>
    </row>
    <row r="30" ht="45.0" customHeight="1">
      <c r="A30" s="9" t="s">
        <v>181</v>
      </c>
      <c r="B30" s="10" t="s">
        <v>173</v>
      </c>
      <c r="C30" s="10" t="s">
        <v>182</v>
      </c>
      <c r="D30" s="10" t="s">
        <v>183</v>
      </c>
      <c r="E30" s="10" t="s">
        <v>25</v>
      </c>
      <c r="F30" s="10" t="s">
        <v>184</v>
      </c>
      <c r="G30" s="11" t="s">
        <v>27</v>
      </c>
      <c r="H30" s="11" t="s">
        <v>25</v>
      </c>
      <c r="I30" s="11" t="s">
        <v>185</v>
      </c>
      <c r="J30" s="11" t="s">
        <v>186</v>
      </c>
      <c r="K30" s="11" t="s">
        <v>187</v>
      </c>
      <c r="L30" s="23" t="s">
        <v>84</v>
      </c>
      <c r="M30" s="10" t="s">
        <v>172</v>
      </c>
      <c r="N30" s="10" t="s">
        <v>25</v>
      </c>
      <c r="O30" s="13">
        <v>8.0</v>
      </c>
      <c r="P30" s="21">
        <v>0.0</v>
      </c>
      <c r="Q30" s="22">
        <f t="shared" si="5"/>
        <v>0</v>
      </c>
    </row>
    <row r="31" ht="45.0" customHeight="1">
      <c r="A31" s="9" t="s">
        <v>188</v>
      </c>
      <c r="B31" s="16" t="s">
        <v>173</v>
      </c>
      <c r="C31" s="16" t="s">
        <v>189</v>
      </c>
      <c r="D31" s="16" t="s">
        <v>190</v>
      </c>
      <c r="E31" s="16" t="s">
        <v>25</v>
      </c>
      <c r="F31" s="16" t="s">
        <v>191</v>
      </c>
      <c r="G31" s="17" t="s">
        <v>27</v>
      </c>
      <c r="H31" s="17" t="s">
        <v>25</v>
      </c>
      <c r="I31" s="17" t="s">
        <v>192</v>
      </c>
      <c r="J31" s="17" t="s">
        <v>192</v>
      </c>
      <c r="K31" s="17" t="s">
        <v>193</v>
      </c>
      <c r="L31" s="23" t="s">
        <v>84</v>
      </c>
      <c r="M31" s="16" t="s">
        <v>181</v>
      </c>
      <c r="N31" s="16" t="s">
        <v>25</v>
      </c>
      <c r="O31" s="13">
        <v>4.0</v>
      </c>
      <c r="P31" s="21">
        <v>0.0</v>
      </c>
      <c r="Q31" s="22">
        <f t="shared" si="5"/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5:Q25"/>
    <mergeCell ref="A28:Q28"/>
    <mergeCell ref="A1:Q1"/>
    <mergeCell ref="A2:Q2"/>
    <mergeCell ref="A3:Q3"/>
    <mergeCell ref="A5:Q5"/>
    <mergeCell ref="A9:Q9"/>
    <mergeCell ref="A13:Q13"/>
    <mergeCell ref="A15:Q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2026-03-19T16:07:41Z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